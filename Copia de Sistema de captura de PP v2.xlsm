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xampp\htdocs\progrmas_presupuestales\"/>
    </mc:Choice>
  </mc:AlternateContent>
  <bookViews>
    <workbookView xWindow="0" yWindow="0" windowWidth="20490" windowHeight="7755" firstSheet="1" activeTab="1"/>
  </bookViews>
  <sheets>
    <sheet name="Listas" sheetId="2" state="hidden" r:id="rId1"/>
    <sheet name="Diagnóstico" sheetId="1" r:id="rId2"/>
    <sheet name="Árboles" sheetId="3" r:id="rId3"/>
    <sheet name="Poblaciones" sheetId="4" r:id="rId4"/>
    <sheet name="MIR" sheetId="7" r:id="rId5"/>
    <sheet name="Marco de Gasto" sheetId="5" r:id="rId6"/>
    <sheet name="Proceso Final" sheetId="6" r:id="rId7"/>
  </sheets>
  <definedNames>
    <definedName name="DESCA">Listas!$N$4:$N$21</definedName>
    <definedName name="Estatal">Listas!$L$4:$L$77</definedName>
    <definedName name="Federal">Listas!$K$4:$K$19</definedName>
    <definedName name="Municipal">Listas!$B$3:$B$108</definedName>
    <definedName name="Municipios">Listas!$B$2:$B$108</definedName>
    <definedName name="Otro_estado">Listas!$G$4:$G$35</definedName>
    <definedName name="Otro_país">Listas!$I$4:$I$9</definedName>
    <definedName name="PP">Listas!$Q$2:$Q$258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6" l="1"/>
  <c r="G67" i="5" l="1"/>
  <c r="F67" i="5"/>
  <c r="E67" i="5"/>
  <c r="D67" i="5"/>
  <c r="H66" i="5"/>
  <c r="H65" i="5"/>
  <c r="H64" i="5"/>
  <c r="H63" i="5"/>
  <c r="G62" i="5"/>
  <c r="F62" i="5"/>
  <c r="E62" i="5"/>
  <c r="D62" i="5"/>
  <c r="H62" i="5" s="1"/>
  <c r="H61" i="5"/>
  <c r="H60" i="5"/>
  <c r="H59" i="5"/>
  <c r="H58" i="5"/>
  <c r="H57" i="5"/>
  <c r="H56" i="5"/>
  <c r="G54" i="5"/>
  <c r="F54" i="5"/>
  <c r="E54" i="5"/>
  <c r="D54" i="5"/>
  <c r="H53" i="5"/>
  <c r="H52" i="5"/>
  <c r="H51" i="5"/>
  <c r="H50" i="5"/>
  <c r="G49" i="5"/>
  <c r="F49" i="5"/>
  <c r="E49" i="5"/>
  <c r="D49" i="5"/>
  <c r="H49" i="5" s="1"/>
  <c r="H48" i="5"/>
  <c r="H47" i="5"/>
  <c r="H46" i="5"/>
  <c r="H45" i="5"/>
  <c r="H44" i="5"/>
  <c r="H43" i="5"/>
  <c r="G41" i="5"/>
  <c r="F41" i="5"/>
  <c r="E41" i="5"/>
  <c r="D41" i="5"/>
  <c r="H41" i="5" s="1"/>
  <c r="H40" i="5"/>
  <c r="H39" i="5"/>
  <c r="H38" i="5"/>
  <c r="H37" i="5"/>
  <c r="G36" i="5"/>
  <c r="F36" i="5"/>
  <c r="E36" i="5"/>
  <c r="D36" i="5"/>
  <c r="H35" i="5"/>
  <c r="H34" i="5"/>
  <c r="H33" i="5"/>
  <c r="H32" i="5"/>
  <c r="H31" i="5"/>
  <c r="H30" i="5"/>
  <c r="G28" i="5"/>
  <c r="F28" i="5"/>
  <c r="E28" i="5"/>
  <c r="D28" i="5"/>
  <c r="H27" i="5"/>
  <c r="H26" i="5"/>
  <c r="H25" i="5"/>
  <c r="H24" i="5"/>
  <c r="G23" i="5"/>
  <c r="F23" i="5"/>
  <c r="E23" i="5"/>
  <c r="D23" i="5"/>
  <c r="H22" i="5"/>
  <c r="H21" i="5"/>
  <c r="H20" i="5"/>
  <c r="H19" i="5"/>
  <c r="H18" i="5"/>
  <c r="H17" i="5"/>
  <c r="H11" i="5"/>
  <c r="H12" i="5"/>
  <c r="H13" i="5"/>
  <c r="H14" i="5"/>
  <c r="H5" i="5"/>
  <c r="H6" i="5"/>
  <c r="H7" i="5"/>
  <c r="H8" i="5"/>
  <c r="H9" i="5"/>
  <c r="H4" i="5"/>
  <c r="E15" i="5"/>
  <c r="F15" i="5"/>
  <c r="G15" i="5"/>
  <c r="D15" i="5"/>
  <c r="E10" i="5"/>
  <c r="F10" i="5"/>
  <c r="G10" i="5"/>
  <c r="D10" i="5"/>
  <c r="G10" i="4"/>
  <c r="D12" i="4"/>
  <c r="D13" i="4"/>
  <c r="D14" i="4"/>
  <c r="D15" i="4"/>
  <c r="E10" i="4"/>
  <c r="F10" i="4"/>
  <c r="E2" i="4"/>
  <c r="I27" i="4"/>
  <c r="J27" i="4"/>
  <c r="K27" i="4"/>
  <c r="L27" i="4"/>
  <c r="M27" i="4"/>
  <c r="H27" i="4"/>
  <c r="D25" i="4"/>
  <c r="D26" i="4"/>
  <c r="D24" i="4"/>
  <c r="E27" i="4"/>
  <c r="D8" i="4"/>
  <c r="D10" i="4" s="1"/>
  <c r="D9" i="4"/>
  <c r="D11" i="4"/>
  <c r="D7" i="4"/>
  <c r="H54" i="5" l="1"/>
  <c r="D27" i="4"/>
  <c r="H10" i="5"/>
  <c r="H15" i="5"/>
  <c r="H23" i="5"/>
  <c r="H28" i="5"/>
  <c r="H36" i="5"/>
  <c r="H67" i="5"/>
  <c r="C87" i="1"/>
  <c r="C82" i="1" l="1"/>
  <c r="B36" i="1" l="1"/>
  <c r="B34" i="1"/>
</calcChain>
</file>

<file path=xl/comments1.xml><?xml version="1.0" encoding="utf-8"?>
<comments xmlns="http://schemas.openxmlformats.org/spreadsheetml/2006/main">
  <authors>
    <author>Wilbert Suárez Solis</author>
  </authors>
  <commentList>
    <comment ref="B3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comments2.xml><?xml version="1.0" encoding="utf-8"?>
<comments xmlns="http://schemas.openxmlformats.org/spreadsheetml/2006/main">
  <authors>
    <author>Wilbert Suárez Solis</author>
  </authors>
  <commentList>
    <comment ref="B1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sharedStrings.xml><?xml version="1.0" encoding="utf-8"?>
<sst xmlns="http://schemas.openxmlformats.org/spreadsheetml/2006/main" count="1118" uniqueCount="950">
  <si>
    <t>Nombre del programa</t>
  </si>
  <si>
    <t>Lugar donde se implementó</t>
  </si>
  <si>
    <t>Objetivo</t>
  </si>
  <si>
    <t xml:space="preserve">Descripción </t>
  </si>
  <si>
    <t>Población objetivo</t>
  </si>
  <si>
    <t>Bienes y servicios que entrega</t>
  </si>
  <si>
    <t>Resultados de evaluaciones</t>
  </si>
  <si>
    <t>Clave del municipio</t>
  </si>
  <si>
    <t>Municipio</t>
  </si>
  <si>
    <r>
      <t>Población total</t>
    </r>
    <r>
      <rPr>
        <sz val="10"/>
        <color rgb="FFFFFFFF"/>
        <rFont val="Verdana"/>
        <family val="2"/>
      </rPr>
      <t> </t>
    </r>
  </si>
  <si>
    <t>Abalá</t>
  </si>
  <si>
    <t>Acanceh</t>
  </si>
  <si>
    <t>Akil</t>
  </si>
  <si>
    <t>Baca</t>
  </si>
  <si>
    <t>Bokobá </t>
  </si>
  <si>
    <t>Buctzotz</t>
  </si>
  <si>
    <t>Cacalchén</t>
  </si>
  <si>
    <t>Calotmul </t>
  </si>
  <si>
    <t>Cansahcab</t>
  </si>
  <si>
    <t>Cantamayec</t>
  </si>
  <si>
    <t>Celestún</t>
  </si>
  <si>
    <t>Cenotillo</t>
  </si>
  <si>
    <t>Conkal</t>
  </si>
  <si>
    <t>Cuncunul</t>
  </si>
  <si>
    <t>Cuzamá</t>
  </si>
  <si>
    <t>Chacsinkín</t>
  </si>
  <si>
    <t>Chankom</t>
  </si>
  <si>
    <t>Chapab</t>
  </si>
  <si>
    <t>Chemax</t>
  </si>
  <si>
    <t>Chicxulub Pueblo</t>
  </si>
  <si>
    <t>Chichimilá</t>
  </si>
  <si>
    <t>Chikindzonot</t>
  </si>
  <si>
    <t>Chocholá</t>
  </si>
  <si>
    <t>Chumayel</t>
  </si>
  <si>
    <t>Dzán</t>
  </si>
  <si>
    <t>Dzemul</t>
  </si>
  <si>
    <t>Dzidzantún</t>
  </si>
  <si>
    <t>Dzilam de Bravo</t>
  </si>
  <si>
    <t>Dzilam González</t>
  </si>
  <si>
    <t>Dzitás</t>
  </si>
  <si>
    <t>Dzoncauich</t>
  </si>
  <si>
    <t>Espita</t>
  </si>
  <si>
    <t>Halachó</t>
  </si>
  <si>
    <t>Hocabá</t>
  </si>
  <si>
    <t>Hoctún</t>
  </si>
  <si>
    <t>Homún</t>
  </si>
  <si>
    <t>Huhí</t>
  </si>
  <si>
    <t>Hunucmá</t>
  </si>
  <si>
    <t>Ixil</t>
  </si>
  <si>
    <t>Izamal</t>
  </si>
  <si>
    <t>Kanasín</t>
  </si>
  <si>
    <t>Kantunil</t>
  </si>
  <si>
    <t>Kaua</t>
  </si>
  <si>
    <t>Kinchil</t>
  </si>
  <si>
    <t>Kopomá</t>
  </si>
  <si>
    <t>Mama</t>
  </si>
  <si>
    <t>Maní</t>
  </si>
  <si>
    <t>Maxcanú</t>
  </si>
  <si>
    <t>Mayapán</t>
  </si>
  <si>
    <t>Mérida</t>
  </si>
  <si>
    <t>Mocochá</t>
  </si>
  <si>
    <t>Motul</t>
  </si>
  <si>
    <t>Muna</t>
  </si>
  <si>
    <t>Muxupip</t>
  </si>
  <si>
    <t>Opichén</t>
  </si>
  <si>
    <t>Oxkutzcab</t>
  </si>
  <si>
    <t>Panabá</t>
  </si>
  <si>
    <t>Peto</t>
  </si>
  <si>
    <t>Progreso</t>
  </si>
  <si>
    <t>Quintana Roo</t>
  </si>
  <si>
    <t>Río Lagartos</t>
  </si>
  <si>
    <t>Sacalum</t>
  </si>
  <si>
    <t>Samahil</t>
  </si>
  <si>
    <t>Sanahcat</t>
  </si>
  <si>
    <t>San Felipe</t>
  </si>
  <si>
    <t>Santa Elena</t>
  </si>
  <si>
    <t>Seyé</t>
  </si>
  <si>
    <t>Sinanché</t>
  </si>
  <si>
    <t>Sotuta</t>
  </si>
  <si>
    <t>Sucilá</t>
  </si>
  <si>
    <t>Sudzal</t>
  </si>
  <si>
    <t>Suma</t>
  </si>
  <si>
    <t>Tahdziú</t>
  </si>
  <si>
    <t>Tahmek</t>
  </si>
  <si>
    <t>Teabo</t>
  </si>
  <si>
    <t>Tecoh</t>
  </si>
  <si>
    <t>Tekal de Venegas</t>
  </si>
  <si>
    <t>Tekantó</t>
  </si>
  <si>
    <t>Tekax</t>
  </si>
  <si>
    <t>Tekit</t>
  </si>
  <si>
    <t>Tekom</t>
  </si>
  <si>
    <t>Telchac Pueblo</t>
  </si>
  <si>
    <t>Telchac Puerto</t>
  </si>
  <si>
    <t>Temax</t>
  </si>
  <si>
    <t>Temozón</t>
  </si>
  <si>
    <t>Tepakán</t>
  </si>
  <si>
    <t>Tetiz</t>
  </si>
  <si>
    <t>Teya</t>
  </si>
  <si>
    <t>Ticul</t>
  </si>
  <si>
    <t>Timucuy</t>
  </si>
  <si>
    <t>Tinum</t>
  </si>
  <si>
    <t>Tixcacalcupul</t>
  </si>
  <si>
    <t>Tixkokob</t>
  </si>
  <si>
    <t>Tixmehuac</t>
  </si>
  <si>
    <t>Tixpéhual</t>
  </si>
  <si>
    <t>Tizimín</t>
  </si>
  <si>
    <t>Tunkás</t>
  </si>
  <si>
    <t>Tzucacab</t>
  </si>
  <si>
    <t>Uayma</t>
  </si>
  <si>
    <t>Ucú</t>
  </si>
  <si>
    <t>Umán</t>
  </si>
  <si>
    <t>Valladolid</t>
  </si>
  <si>
    <t>Xocchel</t>
  </si>
  <si>
    <t>Yaxcabá</t>
  </si>
  <si>
    <t>Yaxkukul</t>
  </si>
  <si>
    <t>Yobaín</t>
  </si>
  <si>
    <t> 6502</t>
  </si>
  <si>
    <t> 16127</t>
  </si>
  <si>
    <t> 11312</t>
  </si>
  <si>
    <t> 5811</t>
  </si>
  <si>
    <t> 2191</t>
  </si>
  <si>
    <t> 8887</t>
  </si>
  <si>
    <t> 7224</t>
  </si>
  <si>
    <t> 3992</t>
  </si>
  <si>
    <t> 4580</t>
  </si>
  <si>
    <t> 2519</t>
  </si>
  <si>
    <t> 7836</t>
  </si>
  <si>
    <t> 3886</t>
  </si>
  <si>
    <t> 11141</t>
  </si>
  <si>
    <t> 1572</t>
  </si>
  <si>
    <t> 5181</t>
  </si>
  <si>
    <t> 3015</t>
  </si>
  <si>
    <t> 4583</t>
  </si>
  <si>
    <t> 3153</t>
  </si>
  <si>
    <t> 36881</t>
  </si>
  <si>
    <t> 4468</t>
  </si>
  <si>
    <t> 8371</t>
  </si>
  <si>
    <t> 4166</t>
  </si>
  <si>
    <t> 4691</t>
  </si>
  <si>
    <t> 3308</t>
  </si>
  <si>
    <t> 5357</t>
  </si>
  <si>
    <t> 3662</t>
  </si>
  <si>
    <t> 8176</t>
  </si>
  <si>
    <t> 2744</t>
  </si>
  <si>
    <t> 6120</t>
  </si>
  <si>
    <t> 3783</t>
  </si>
  <si>
    <t> 2609</t>
  </si>
  <si>
    <t> 16071</t>
  </si>
  <si>
    <t> 20152</t>
  </si>
  <si>
    <t> 6089</t>
  </si>
  <si>
    <t> 5976</t>
  </si>
  <si>
    <t> 7670</t>
  </si>
  <si>
    <t> 5218</t>
  </si>
  <si>
    <t> 32475</t>
  </si>
  <si>
    <t> 4073</t>
  </si>
  <si>
    <t> 26801</t>
  </si>
  <si>
    <t> 96317</t>
  </si>
  <si>
    <t> 5455</t>
  </si>
  <si>
    <t> 3119</t>
  </si>
  <si>
    <t> 7187</t>
  </si>
  <si>
    <t> 2515</t>
  </si>
  <si>
    <t> 3210</t>
  </si>
  <si>
    <t> 5637</t>
  </si>
  <si>
    <t> 22619</t>
  </si>
  <si>
    <t> 3700</t>
  </si>
  <si>
    <t> 892363</t>
  </si>
  <si>
    <t> 3218</t>
  </si>
  <si>
    <t> 36097</t>
  </si>
  <si>
    <t> 12722</t>
  </si>
  <si>
    <t> 2837</t>
  </si>
  <si>
    <t> 6789</t>
  </si>
  <si>
    <t> 31202</t>
  </si>
  <si>
    <t> 7792</t>
  </si>
  <si>
    <t> 25264</t>
  </si>
  <si>
    <t> 59122</t>
  </si>
  <si>
    <t> 963</t>
  </si>
  <si>
    <t> 3502</t>
  </si>
  <si>
    <t> 4819</t>
  </si>
  <si>
    <t> 5119</t>
  </si>
  <si>
    <t> 1678</t>
  </si>
  <si>
    <t> 1945</t>
  </si>
  <si>
    <t> 4047</t>
  </si>
  <si>
    <t> 9724</t>
  </si>
  <si>
    <t> 3088</t>
  </si>
  <si>
    <t> 8902</t>
  </si>
  <si>
    <t> 3918</t>
  </si>
  <si>
    <t> 1710</t>
  </si>
  <si>
    <t> 1762</t>
  </si>
  <si>
    <t> 5111</t>
  </si>
  <si>
    <t> 3641</t>
  </si>
  <si>
    <t> 6551</t>
  </si>
  <si>
    <t> 17609</t>
  </si>
  <si>
    <t> 2616</t>
  </si>
  <si>
    <t> 3786</t>
  </si>
  <si>
    <t> 42440</t>
  </si>
  <si>
    <t> 10232</t>
  </si>
  <si>
    <t> 3216</t>
  </si>
  <si>
    <t> 3704</t>
  </si>
  <si>
    <t> 1778</t>
  </si>
  <si>
    <t> 7210</t>
  </si>
  <si>
    <t> 15503</t>
  </si>
  <si>
    <t> 2134</t>
  </si>
  <si>
    <t> 5124</t>
  </si>
  <si>
    <t> 1916</t>
  </si>
  <si>
    <t> 40161</t>
  </si>
  <si>
    <t> 7362</t>
  </si>
  <si>
    <t> 11942</t>
  </si>
  <si>
    <t> 7157</t>
  </si>
  <si>
    <t> 17787</t>
  </si>
  <si>
    <t> 4813</t>
  </si>
  <si>
    <t> 5407</t>
  </si>
  <si>
    <t> 77621</t>
  </si>
  <si>
    <t> 3522</t>
  </si>
  <si>
    <t> 14784</t>
  </si>
  <si>
    <t> 4056</t>
  </si>
  <si>
    <t> 3682</t>
  </si>
  <si>
    <t> 55261</t>
  </si>
  <si>
    <t> 80313</t>
  </si>
  <si>
    <t> 3482</t>
  </si>
  <si>
    <t> 15203</t>
  </si>
  <si>
    <t> 3109</t>
  </si>
  <si>
    <t> 2227</t>
  </si>
  <si>
    <t>Todo el estado</t>
  </si>
  <si>
    <t>Liga del informe de evaluación</t>
  </si>
  <si>
    <t>En caso que no sea público, adjuntar archivo</t>
  </si>
  <si>
    <t>Otro país</t>
  </si>
  <si>
    <t>Otro estado</t>
  </si>
  <si>
    <t>Bienes y servicios que entregaba y se vinculan con el nuevo programa</t>
  </si>
  <si>
    <t>Aguascalientes</t>
  </si>
  <si>
    <t>Baja California</t>
  </si>
  <si>
    <t>Baja California Sur</t>
  </si>
  <si>
    <t>Campeche</t>
  </si>
  <si>
    <t>Coahuila de Zaragoza</t>
  </si>
  <si>
    <t>Colima</t>
  </si>
  <si>
    <t>Chiapas</t>
  </si>
  <si>
    <t>Chihuahua</t>
  </si>
  <si>
    <t>Distrito Federal</t>
  </si>
  <si>
    <t>Durango</t>
  </si>
  <si>
    <t>Guanajuato</t>
  </si>
  <si>
    <t>Guerrero</t>
  </si>
  <si>
    <t>Hidalgo</t>
  </si>
  <si>
    <t>Jalisco</t>
  </si>
  <si>
    <t>México</t>
  </si>
  <si>
    <t>Michoacán de Ocampo</t>
  </si>
  <si>
    <t>Morelos</t>
  </si>
  <si>
    <t>Nayarit</t>
  </si>
  <si>
    <t>Nuevo León</t>
  </si>
  <si>
    <t>Oaxaca</t>
  </si>
  <si>
    <t>Puebla</t>
  </si>
  <si>
    <t>Querétaro Arteaga</t>
  </si>
  <si>
    <t>San Luis Potosí</t>
  </si>
  <si>
    <t>Sinaloa</t>
  </si>
  <si>
    <t>Sonora</t>
  </si>
  <si>
    <t>Tabasco</t>
  </si>
  <si>
    <t>Tamaulipas</t>
  </si>
  <si>
    <t>Tlaxcala</t>
  </si>
  <si>
    <t>Veracruz de Ignacio de la Llave </t>
  </si>
  <si>
    <t>Yucatán</t>
  </si>
  <si>
    <t>Zacatecas</t>
  </si>
  <si>
    <t>Entidad federativa</t>
  </si>
  <si>
    <t>Federación</t>
  </si>
  <si>
    <t>Argentina</t>
  </si>
  <si>
    <t>Chile</t>
  </si>
  <si>
    <t>Brasil</t>
  </si>
  <si>
    <t>Estados Unidos</t>
  </si>
  <si>
    <t>Cánada</t>
  </si>
  <si>
    <t>Otro</t>
  </si>
  <si>
    <t>Tipo de programa</t>
  </si>
  <si>
    <t>Institución o Dirección que coordina el Programa</t>
  </si>
  <si>
    <t>Nombre</t>
  </si>
  <si>
    <t>Tipo de relación</t>
  </si>
  <si>
    <t>Secretaría de Gobernación (SEGOB).</t>
  </si>
  <si>
    <t>Secretaría de Relaciones Exteriores (SRE).</t>
  </si>
  <si>
    <t>Secretaría de la Defensa Nacional (SEDENA).</t>
  </si>
  <si>
    <t>Secretaría de Marina (SEMAR)</t>
  </si>
  <si>
    <t>Secretaría de Hacienda y Crédito Público (SHCP).</t>
  </si>
  <si>
    <t>Secretaría de Desarrollo Social (SEDESOL).</t>
  </si>
  <si>
    <t>Secretaría de Medio Ambiente y Recursos Naturales (SEMARNAT).</t>
  </si>
  <si>
    <t>Secretaría de Energía (SENER).</t>
  </si>
  <si>
    <t>Secretaría de Economía (SE)</t>
  </si>
  <si>
    <t>Secretaría de Agricultura, Ganadería, Desarrollo Rural, Pesca y Alimentación (SAGARPA).</t>
  </si>
  <si>
    <t>Secretaría de Comunicaciones y Transportes (SCT).</t>
  </si>
  <si>
    <t>Secretaría de Educación Pública (SEP).</t>
  </si>
  <si>
    <t>Secretaría de Salud (SS).</t>
  </si>
  <si>
    <t>Secretaría del Trabajo y Previsión Social (STPS).</t>
  </si>
  <si>
    <t>Secretaría de Desarrollo Agrario, Territorial y Urbano (SEDATU).</t>
  </si>
  <si>
    <t>Secretaría de Turismo (SECTUR).</t>
  </si>
  <si>
    <t>Despacho del Gobernador</t>
  </si>
  <si>
    <t>Consejería Jurídica (CJ)</t>
  </si>
  <si>
    <t>Fiscalía General del Estado (FGE)</t>
  </si>
  <si>
    <t>Secretaría de Administración y Finanzas (SAF)</t>
  </si>
  <si>
    <t>Secretaría de Desarrollo Rural (SEDER)</t>
  </si>
  <si>
    <t>Secretaría de Desarrollo Sustentable (SDS)</t>
  </si>
  <si>
    <t>Secretaría de Educación (SEGEY)</t>
  </si>
  <si>
    <t>Secretaría de Fomento Económico y Trabajo (SEFOET)</t>
  </si>
  <si>
    <t>Secretaría de Fomento Turístico (SEFOTUR)</t>
  </si>
  <si>
    <t>Secretaría de Investigación, Innovación y Educación Superior (SIIES)</t>
  </si>
  <si>
    <t>Secretaría de la Contraloría General (SECOGEY)</t>
  </si>
  <si>
    <t>Secretaría de la Cultura y las Artes (SEDECULTA)</t>
  </si>
  <si>
    <t>Secretaría de Obras Públicas (SOP)</t>
  </si>
  <si>
    <t>Secretaría de Salud (SSY)</t>
  </si>
  <si>
    <t>Secretaría de Seguridad Pública (SSP)</t>
  </si>
  <si>
    <t>Secretaría General de Gobierno (SGG)</t>
  </si>
  <si>
    <t>Secretaría de Pesca y Acuacultura Sustentables (SEPASY)</t>
  </si>
  <si>
    <t>Secretaría de las Mujeres (SEMUJERES)</t>
  </si>
  <si>
    <t>Administración del Patrimonio de la Beneficencia Pública del Estado de Yucatán (APBPY)</t>
  </si>
  <si>
    <t>Aeropuerto de Chichen Itzá del Estado de Yucatán</t>
  </si>
  <si>
    <t>Agencia para el Desarrollo de Yucatán (ADY)</t>
  </si>
  <si>
    <t>Casa de Las Artesanías del Gobierno del Estado de Yucatán (CAEY)</t>
  </si>
  <si>
    <t>Centro Estatal de Trasplantes de Yucatán (CEETRY)</t>
  </si>
  <si>
    <t>Colegio de Bachilleres del Estado de Yucatán (COBAY)</t>
  </si>
  <si>
    <t>Colegio de Educación Profesional Técnica del Estado de Yucatán (CONALEP)</t>
  </si>
  <si>
    <t>Colegio de Estudios Científicos y Tecnológicos del Estado de Yucatán (CECYTEY)</t>
  </si>
  <si>
    <t>Comisión Ejecutiva Estatal de Atención a Víctimas (CEEAV)</t>
  </si>
  <si>
    <t>Consejo de Ciencia, Innovación y Tecnología del Estado de Yucatán (CONCIYTEY)</t>
  </si>
  <si>
    <t>Escuela Superior de Artes de Yucatán (ESAY)</t>
  </si>
  <si>
    <t>Fabrica de Postes de Yucatán, S.A. de C.V. (FAPOYUC)</t>
  </si>
  <si>
    <t>Fideicomiso Garante de la Orquesta Sinfónica de Yucatán (FIGAROSY)</t>
  </si>
  <si>
    <t>Fideicomiso Público para el Desarrollo del Turismo de Reuniones en Yucatán (FIDETURE)</t>
  </si>
  <si>
    <t>Fideicomiso Público para la Administración del Palacio de la Música</t>
  </si>
  <si>
    <t>Hospital Comunitario de Peto, Yucatán (HCPY)</t>
  </si>
  <si>
    <t>Hospital Comunitario de Ticul, Yucatán (HCTY)</t>
  </si>
  <si>
    <t>Hospital de la Amistad Corea-México (HA)</t>
  </si>
  <si>
    <t>Hospital General de Tekax, Yucatán (HGTY)</t>
  </si>
  <si>
    <t>Instituto de Becas y Crédito Educativo del Estado de Yucatán (IBECEY)</t>
  </si>
  <si>
    <t>Instituto de Capacitación para el Trabajo del Estado de Yucatán (ICATEY)</t>
  </si>
  <si>
    <t>Instituto de Educación para Adultos del Estado de Yucatán (IEAEY)</t>
  </si>
  <si>
    <t>Instituto de Infraestructura Carretera de Yucatán (INCAY)</t>
  </si>
  <si>
    <t>Instituto de Movilidad y Desarrollo Urbano Territorial (IMDUT)</t>
  </si>
  <si>
    <t>Instituto de Seguridad Jurídica Patrimonial de Yucatán (INSEJUPY)</t>
  </si>
  <si>
    <t>Instituto de Seguridad Social de los Trabajadores del Estado de Yucatán (ISSTEY)</t>
  </si>
  <si>
    <t>Instituto de Vivienda del Estado de Yucatán (IVEY)</t>
  </si>
  <si>
    <t>Instituto del Deporte de Yucatán (IDEY)</t>
  </si>
  <si>
    <t>Instituto para el Desarrollo de la Cultura Maya del Estado de Yucatán (INDEMAYA)</t>
  </si>
  <si>
    <t>Instituto para el Desarrollo y Certificación de la Infraestructura Física Educativa de Yucatán (IDEFEY)</t>
  </si>
  <si>
    <t>Instituto para la Construcción y Conservación de Obra Pública en Yucatán (INCCOPY)</t>
  </si>
  <si>
    <t>Instituto para la Inclusión de las Personas con Discapacidad del Estado de Yucatán (IIPEDEY)</t>
  </si>
  <si>
    <t>Instituto Promotor de Ferias de Yucatán (IPFY)</t>
  </si>
  <si>
    <t>Instituto Tecnológico Superior de Motul (ITSM)</t>
  </si>
  <si>
    <t>Instituto Tecnológico Superior de Progreso (ITSP)</t>
  </si>
  <si>
    <t>Instituto Tecnológico Superior de Valladolid (ITSVA)</t>
  </si>
  <si>
    <t>Instituto Tecnológico Superior del Sur del Estado de Yucatán (ITSSY)</t>
  </si>
  <si>
    <t>Instituto Yucateco de Emprendedores (IYEM)</t>
  </si>
  <si>
    <t>Junta de Agua Potable y Alcantarillado de Yucatán (JAPAY)</t>
  </si>
  <si>
    <t>Junta de Asistencia Privada del Estado de Yucatán (JAPEY)</t>
  </si>
  <si>
    <t>Junta de Electrificación de Yucatán (JEDEY)</t>
  </si>
  <si>
    <t>Patronato de las Unidades de Servicios Culturales y Turísticos del Estado de Yucatán (CULTUR)</t>
  </si>
  <si>
    <t>Régimen Estatal de Protección Social en Salud (REPSSY)</t>
  </si>
  <si>
    <t>Secretaría Ejecutiva del Sistema Estatal Anticorrupción (SESEAY)</t>
  </si>
  <si>
    <t>Secretaría Técnica de Planeación y Evaluación (SEPLAN)</t>
  </si>
  <si>
    <t>Servicios de Salud de Yucatán (SSY)</t>
  </si>
  <si>
    <t>Sistema para el Desarrollo Integral de la Familia en Yucatán (DIF Yucatán)</t>
  </si>
  <si>
    <t>Sistema Teleyucatán, S.A. de C.V. (Trece TV)</t>
  </si>
  <si>
    <t>Universidad de Oriente (UNO)</t>
  </si>
  <si>
    <t>Universidad Politécnica de Yucatán (UPY)</t>
  </si>
  <si>
    <t>Universidad Tecnológica del Centro (UTC)</t>
  </si>
  <si>
    <t>Universidad Tecnológica del Mayab (UT del Mayab)</t>
  </si>
  <si>
    <t>Universidad Tecnológica del Poniente (UTP)</t>
  </si>
  <si>
    <t>Universidad Tecnológica Metropolitana (UTM)</t>
  </si>
  <si>
    <t>Universidad Tecnológica Regional del Sur (UTRS)</t>
  </si>
  <si>
    <t>XH-YUC 92.9 F.M. La Radio Yucateca (IMER)</t>
  </si>
  <si>
    <t>Al final del proceso (solo para el presupuesto 2020)</t>
  </si>
  <si>
    <t>Descripción de la problemática que origina el programa</t>
  </si>
  <si>
    <t>Identifica las fuentes utilizadas</t>
  </si>
  <si>
    <t>Liga</t>
  </si>
  <si>
    <t>Fecha de consulta</t>
  </si>
  <si>
    <t>Adjuntar el archivo</t>
  </si>
  <si>
    <t>¿En que municipios se presenta con mayor incidencia?</t>
  </si>
  <si>
    <t>Explica como ha evolucionado la problemática en los últimos años</t>
  </si>
  <si>
    <t>¿La problemática se manifiesta de manera diferente en hombres y mujeres?</t>
  </si>
  <si>
    <t>¿La problemática se manifiesta en mayor medida en la población indígena o maya hablante?</t>
  </si>
  <si>
    <t>Enlista las principales causas que originan la problemática</t>
  </si>
  <si>
    <t>¿El programa atiende al menos a uno de los Derechos Económicos, Sociales, Culturales y Ambientales?</t>
  </si>
  <si>
    <t>Derecho económico</t>
  </si>
  <si>
    <t>Derecho al empleo</t>
  </si>
  <si>
    <t>Derecho a un salario digno</t>
  </si>
  <si>
    <t>Derecho al sindicalismo</t>
  </si>
  <si>
    <t>Derecho de huelga</t>
  </si>
  <si>
    <t>Derecho social</t>
  </si>
  <si>
    <t>Derecho a la salud</t>
  </si>
  <si>
    <t>Derecho a la vivienda</t>
  </si>
  <si>
    <t>Derecho a la seguridad social</t>
  </si>
  <si>
    <t>Derecho a la alimentación</t>
  </si>
  <si>
    <t>Derecho a la educación</t>
  </si>
  <si>
    <t>Derecho cultural</t>
  </si>
  <si>
    <t>Derecho de acceso a bienes y servicios culturales</t>
  </si>
  <si>
    <t>Derecho a la ciencia</t>
  </si>
  <si>
    <t>Derecho ambiental</t>
  </si>
  <si>
    <t>Derecho al agua</t>
  </si>
  <si>
    <t>Derecho a un medio ambiente adecuado y saludable</t>
  </si>
  <si>
    <t>Especificar</t>
  </si>
  <si>
    <t>Públicos</t>
  </si>
  <si>
    <t>Privados</t>
  </si>
  <si>
    <t>ONG</t>
  </si>
  <si>
    <t>Otras categorías de involucrados</t>
  </si>
  <si>
    <t>Tipo de actor</t>
  </si>
  <si>
    <t xml:space="preserve">Posición </t>
  </si>
  <si>
    <t>A favor</t>
  </si>
  <si>
    <t>Indiferente</t>
  </si>
  <si>
    <t>En contra</t>
  </si>
  <si>
    <t>Alta</t>
  </si>
  <si>
    <t>Regular</t>
  </si>
  <si>
    <t>Baja</t>
  </si>
  <si>
    <t>Importancia</t>
  </si>
  <si>
    <t>Identifica todos los grupos a los que afecta el problema, que beneficiaría el programa o que perjudicaría el programa</t>
  </si>
  <si>
    <t>Árbol de problemas</t>
  </si>
  <si>
    <t>Problema Central</t>
  </si>
  <si>
    <t>Causa 1</t>
  </si>
  <si>
    <t>Causa 2</t>
  </si>
  <si>
    <t>Causa 3</t>
  </si>
  <si>
    <t>Consecuencia 1</t>
  </si>
  <si>
    <t>Consecuencia 2</t>
  </si>
  <si>
    <t>causa 1.1</t>
  </si>
  <si>
    <t>causa 2.1</t>
  </si>
  <si>
    <t>causa 3.1</t>
  </si>
  <si>
    <t>causa 1.2</t>
  </si>
  <si>
    <t>causa 2.2</t>
  </si>
  <si>
    <t>causa 3.2</t>
  </si>
  <si>
    <t>causa 1.3</t>
  </si>
  <si>
    <t>causa 3.3</t>
  </si>
  <si>
    <t>Componente 1</t>
  </si>
  <si>
    <t>Componente 2</t>
  </si>
  <si>
    <t>Componente 3</t>
  </si>
  <si>
    <t>Propósito</t>
  </si>
  <si>
    <t>Fin 1</t>
  </si>
  <si>
    <t>Fin 2</t>
  </si>
  <si>
    <t>Árbol de objetivo</t>
  </si>
  <si>
    <t>Actividad 1.1</t>
  </si>
  <si>
    <t>Actividad 2.1</t>
  </si>
  <si>
    <t>Actividad 3.1</t>
  </si>
  <si>
    <t>Actividad 1.2</t>
  </si>
  <si>
    <t>Actividad 2.2</t>
  </si>
  <si>
    <t>Actividad 3.2</t>
  </si>
  <si>
    <t>Actividad 1.3</t>
  </si>
  <si>
    <t>Actividad 3.3</t>
  </si>
  <si>
    <t>Identifica los bienes y servicios que se tendrían que entregar para solucionar el problema central y sus causas</t>
  </si>
  <si>
    <t>Bien o servicio</t>
  </si>
  <si>
    <t>Descripción del bien o servicio</t>
  </si>
  <si>
    <t>Documento que justifica o comprueba la pertinencia del bien o servicio</t>
  </si>
  <si>
    <t>Adjunta el archivo</t>
  </si>
  <si>
    <t>Bien 1</t>
  </si>
  <si>
    <t>Bien 2</t>
  </si>
  <si>
    <t>Bien 3</t>
  </si>
  <si>
    <t>Bien 4</t>
  </si>
  <si>
    <t>Servicio 1</t>
  </si>
  <si>
    <t>Servicio 2</t>
  </si>
  <si>
    <t>Servicio 3</t>
  </si>
  <si>
    <t>Componente 2 =B4 + S1</t>
  </si>
  <si>
    <t>Componente 3 = S2 + S3</t>
  </si>
  <si>
    <t>Criterios de calidad</t>
  </si>
  <si>
    <t>Criterios para determinar la entrega oportuna</t>
  </si>
  <si>
    <t>Población Potencial</t>
  </si>
  <si>
    <t>Población de Referencia</t>
  </si>
  <si>
    <t>Población Objetivo</t>
  </si>
  <si>
    <t>Población postergada</t>
  </si>
  <si>
    <t>Descripción</t>
  </si>
  <si>
    <t>Total</t>
  </si>
  <si>
    <t>Hombres</t>
  </si>
  <si>
    <t>Mujeres</t>
  </si>
  <si>
    <t>Hablantes de lengua indígena</t>
  </si>
  <si>
    <t>¿Pertenece a un grupo de edad?</t>
  </si>
  <si>
    <t>0 a 1 año</t>
  </si>
  <si>
    <t>0 a 5 años</t>
  </si>
  <si>
    <t>3 a 5 años</t>
  </si>
  <si>
    <t>1 a 3 años</t>
  </si>
  <si>
    <t>6 a 11 años</t>
  </si>
  <si>
    <t>12 a 15 años</t>
  </si>
  <si>
    <t>15 a 17 años</t>
  </si>
  <si>
    <t>18 a 21 años</t>
  </si>
  <si>
    <t>18 a 23 años</t>
  </si>
  <si>
    <t>18 a 24 años</t>
  </si>
  <si>
    <t>12 a 29 años</t>
  </si>
  <si>
    <t>14 a 29 años</t>
  </si>
  <si>
    <t>16 a 18 años</t>
  </si>
  <si>
    <t>10 a 24 años</t>
  </si>
  <si>
    <t>18 a 65 años</t>
  </si>
  <si>
    <t>16 a 65 años</t>
  </si>
  <si>
    <t>30 a 65 años</t>
  </si>
  <si>
    <t>más de 65 años</t>
  </si>
  <si>
    <t>Especifique</t>
  </si>
  <si>
    <t>Otros criterios</t>
  </si>
  <si>
    <t>Fuente</t>
  </si>
  <si>
    <t>Subir documento</t>
  </si>
  <si>
    <t>De hasta 500 habitantes</t>
  </si>
  <si>
    <t xml:space="preserve">501-2,500 </t>
  </si>
  <si>
    <t>2,501-10,000</t>
  </si>
  <si>
    <t>1,001-15,000</t>
  </si>
  <si>
    <t>15,000-49,999</t>
  </si>
  <si>
    <t>Más de 50,000</t>
  </si>
  <si>
    <t>Nombre del municipio</t>
  </si>
  <si>
    <t>Número de localidades</t>
  </si>
  <si>
    <t>% de la población urbana</t>
  </si>
  <si>
    <t>% de la población rural</t>
  </si>
  <si>
    <t>Localidades por número de habitantes</t>
  </si>
  <si>
    <t>Total de la población programada</t>
  </si>
  <si>
    <t>Población Programada 2020</t>
  </si>
  <si>
    <t>Población Programada 2021</t>
  </si>
  <si>
    <t>Población Programada 2022</t>
  </si>
  <si>
    <t>Población Programada 2023</t>
  </si>
  <si>
    <t>Población Programada 2024</t>
  </si>
  <si>
    <t>Actor</t>
  </si>
  <si>
    <t>Criterio</t>
  </si>
  <si>
    <t>Descripción del criterio</t>
  </si>
  <si>
    <t>Justificación de la elección</t>
  </si>
  <si>
    <t>Nivel de ingreso</t>
  </si>
  <si>
    <t>Sexo</t>
  </si>
  <si>
    <t>Grupo etario</t>
  </si>
  <si>
    <t>Condición de hablante de lengua indígena</t>
  </si>
  <si>
    <t>Ubicación geográfica</t>
  </si>
  <si>
    <t>Otros criterios (especificar):</t>
  </si>
  <si>
    <t>Adjuntar archivo</t>
  </si>
  <si>
    <t>Medio de verificación</t>
  </si>
  <si>
    <t>Selecciona el Fin del Árbol de Objetivos</t>
  </si>
  <si>
    <t>Selecciona al Eje del PED que se alinea</t>
  </si>
  <si>
    <t>Selecciona la Política Pública</t>
  </si>
  <si>
    <t>Selecciona el Objetivo</t>
  </si>
  <si>
    <t>Selecciona la Estrategia</t>
  </si>
  <si>
    <t>Selecciona la Línea de acción</t>
  </si>
  <si>
    <t>Meta 2020</t>
  </si>
  <si>
    <t>Presupuesto</t>
  </si>
  <si>
    <t>Fuentes de financiamiento</t>
  </si>
  <si>
    <t>Fuente 1</t>
  </si>
  <si>
    <t>Fuente 2</t>
  </si>
  <si>
    <t>Fuente 3</t>
  </si>
  <si>
    <t>Fuente n</t>
  </si>
  <si>
    <t>Componente 4</t>
  </si>
  <si>
    <t>Meta 2021</t>
  </si>
  <si>
    <t>Meta 2022</t>
  </si>
  <si>
    <t>Meta 2023</t>
  </si>
  <si>
    <t>Meta 2024</t>
  </si>
  <si>
    <t>Meta de mediano plazo</t>
  </si>
  <si>
    <t>Institución</t>
  </si>
  <si>
    <t>Área</t>
  </si>
  <si>
    <t>Función en la ejecución del programa</t>
  </si>
  <si>
    <t>Interactúa con</t>
  </si>
  <si>
    <t>Mecanismos de coordinación</t>
  </si>
  <si>
    <t>Responsabilidad</t>
  </si>
  <si>
    <t>286PP Distribución de Participaciones</t>
  </si>
  <si>
    <t>287PP Distribución de Aportaciones</t>
  </si>
  <si>
    <t>68PP Cobertura con Equidad en Educación Básica</t>
  </si>
  <si>
    <t>315PP Atención Médica</t>
  </si>
  <si>
    <t>236PP Administración de recursos humanos, materiales y financieros de la Secretaría de Educación del Estado</t>
  </si>
  <si>
    <t>169PP Administración y Control de los Recursos Humanos, Financieros y Materiales de la Universidad Autónoma de Yucatán</t>
  </si>
  <si>
    <t>249PP Servicios y Prestaciones</t>
  </si>
  <si>
    <t>284PP Pago a Jubilados</t>
  </si>
  <si>
    <t>248PP Programa Administrativo del COBAY</t>
  </si>
  <si>
    <t>269PP Servicios y Ordenamiento del Transporte Público en el Estado</t>
  </si>
  <si>
    <t>235PP Administración de los Recursos Humanos, Financieros y Materiales del Poder Judicial</t>
  </si>
  <si>
    <t>93PP Apoyos para el Crecimiento Empresarial</t>
  </si>
  <si>
    <t>63PP Fomento y Promoción de la Cultura y las Artes</t>
  </si>
  <si>
    <t>172PP Prevención del Delito a través de Acciones Estructurales</t>
  </si>
  <si>
    <t>59PP Seguro Popular</t>
  </si>
  <si>
    <t>80PP Carencia por Acceso a la Alimentación</t>
  </si>
  <si>
    <t>173PP Administración de Recursos Humanos, Financieros y Materiales de la Secretaría de Seguridad Pública</t>
  </si>
  <si>
    <t>185PP Administración de Recursos Humanos, Materiales y Financieros de la JAPAY</t>
  </si>
  <si>
    <t>104PP Carreteras, Calles y Caminos</t>
  </si>
  <si>
    <t>129PP Calidad en Educación Superior de la Universidad Autónoma de Yucatán</t>
  </si>
  <si>
    <t>200PP Administración y Control de los Recursos Humanos, Financieros y Materiales de los SSY</t>
  </si>
  <si>
    <t>285PP Administración y Manejo de la Deuda</t>
  </si>
  <si>
    <t>290PP Servicios Legislativos</t>
  </si>
  <si>
    <t>170PP Profesionalización de los Elementos Policíacos del Estado</t>
  </si>
  <si>
    <t>121PP Sistema de Justicia Penal</t>
  </si>
  <si>
    <t>215PP Gestión Escolar</t>
  </si>
  <si>
    <t>305PP Operación y Administración del IEPAC</t>
  </si>
  <si>
    <t>76PP Eficiencia Terminal en Educación Superior</t>
  </si>
  <si>
    <t>86PP Línea Mínima de Bienestar</t>
  </si>
  <si>
    <t>297PP Calidad en Educación Media Superior de la Universidad Autónoma de Yucatán</t>
  </si>
  <si>
    <t>218PP Cobertura de los Servicios de Educación Profesional Técnica/CONALEP</t>
  </si>
  <si>
    <t>195PP Protección contra Riesgos Sanitarios</t>
  </si>
  <si>
    <t>74PP Cobertura en Educación Superior</t>
  </si>
  <si>
    <t>219PP Fortalecimiento de la Calidad Educativa en Educación Media Superior del CECYTEY</t>
  </si>
  <si>
    <t>182PP Comunicación Social e Información</t>
  </si>
  <si>
    <t>278PP Eficiencia Terminal de la Universidad Tecnológica Metropolitana</t>
  </si>
  <si>
    <t>272PP Administración de los Recursos Humanos, Materiales y de Servicios del Patronato CULTUR</t>
  </si>
  <si>
    <t>273PP Administración y Planeación Turística</t>
  </si>
  <si>
    <t>44PP Carencia por Acceso a Servicios Básicos en la Vivienda</t>
  </si>
  <si>
    <t>70PP Eficiencia Terminal en Educación Básica</t>
  </si>
  <si>
    <t>71PP Cobertura en Educación Media Superior</t>
  </si>
  <si>
    <t>78PP Rezago Educativo</t>
  </si>
  <si>
    <t>160PP Adquisiciones del Poder Ejecutivo</t>
  </si>
  <si>
    <t>293PP Auditoría Superior del Estado</t>
  </si>
  <si>
    <t>52PP Salud Reproductiva</t>
  </si>
  <si>
    <t>102PP Programa de Prevención, Sanidad e Inocuidad Agroalimentaria</t>
  </si>
  <si>
    <t>189PP Programa de Construcción y Conservación de la Obra Pública</t>
  </si>
  <si>
    <t>171PP Prevención y Seguridad Vial</t>
  </si>
  <si>
    <t>79PP Gestión Integral de los Residuos Sólidos</t>
  </si>
  <si>
    <t>268PP Gastos de Administración del INCAY</t>
  </si>
  <si>
    <t>17PP Programa Integral de Reinserción Social</t>
  </si>
  <si>
    <t>43PP Construcción, Ampliación y Mejoramiento de Vivienda</t>
  </si>
  <si>
    <t>92PP Protección Social a Pescadores y sus Familias</t>
  </si>
  <si>
    <t>84PP Prevención y Atención a Mujeres en situación de violencia</t>
  </si>
  <si>
    <t>302PP Logística de Eventos y Giras</t>
  </si>
  <si>
    <t>38PP Dotación de Agua Potable</t>
  </si>
  <si>
    <t>53PP Salud Infantil</t>
  </si>
  <si>
    <t>87PP Sujetos en Condición de Vulnerabilidad</t>
  </si>
  <si>
    <t>151PP Gestión Integral para el Desarrollo Metropolitano</t>
  </si>
  <si>
    <t>56PP Programa Integral de Infraestructura Física en Salud para el Mantenimiento y Desarrollo Físico de las Unidades Médicas de los Servicios de Salud</t>
  </si>
  <si>
    <t>117PP Saneamiento de Aguas Residuales</t>
  </si>
  <si>
    <t>20PP Certeza Jurídica y Derechos Humanos</t>
  </si>
  <si>
    <t>258PP Programa Administrativo del ISSTEY</t>
  </si>
  <si>
    <t>9PP Impartición de Justicia Político Electoral</t>
  </si>
  <si>
    <t>277PP Eficiencia Terminal de la Universidad de Oriente</t>
  </si>
  <si>
    <t>32PP Acceso a la Información Pública Gubernamental</t>
  </si>
  <si>
    <t>233PP Gestión Institucional</t>
  </si>
  <si>
    <t>107PP Promoción y Comercialización Turística</t>
  </si>
  <si>
    <t>88PP Atención a Personas con Discapacidad</t>
  </si>
  <si>
    <t>228PP Formación de Profesionistas Competitivos en Programas Educativos de Calidad ITS Valladolid</t>
  </si>
  <si>
    <t>8PP Impartición de Justicia en Materia Fiscal y Administrativa</t>
  </si>
  <si>
    <t>109PP Infraestructura Turística</t>
  </si>
  <si>
    <t>194PP Administración de Recursos Humanos, Materiales y Financieros del IVEY</t>
  </si>
  <si>
    <t>100PP Desarrollo Agropecuario y Agroindustrial</t>
  </si>
  <si>
    <t>47PP Salud Mental</t>
  </si>
  <si>
    <t>244PP Mejoramiento del Desempeño Administrativo del IEAEY</t>
  </si>
  <si>
    <t>226PP Fortalecimiento a la Calidad del Servicio Educativo del Instituto Tecnológico Superior Progreso</t>
  </si>
  <si>
    <t>91PP Atención al Desarrollo Infantil</t>
  </si>
  <si>
    <t>225PP Fortalecimiento de la Calidad Educativa en la Educación Superior-ITSSY</t>
  </si>
  <si>
    <t>60PP Activación Física</t>
  </si>
  <si>
    <t>27PP Protección Civil</t>
  </si>
  <si>
    <t>208PP Eventos Recreativos</t>
  </si>
  <si>
    <t>224PP Atención a los Estudiantes de la Universidad Tecnológica del Poniente</t>
  </si>
  <si>
    <t>89PP Atención Integral al Menor en Desamparo</t>
  </si>
  <si>
    <t>227PP Eficiencia Terminal del Instituto Superior de Motul</t>
  </si>
  <si>
    <t>61PP Alto Rendimiento</t>
  </si>
  <si>
    <t>165PP Tecnologías de la Información</t>
  </si>
  <si>
    <t>14PP Asesoría y Defensa Jurídica del INDEPEY</t>
  </si>
  <si>
    <t>254PP Mejoramiento de la Administración del Dif Yucatán</t>
  </si>
  <si>
    <t>162PP Administración de los Recursos Humanos del Poder Ejecutivo</t>
  </si>
  <si>
    <t>221PP Eficiencia Terminal de la Universidad Tecnológica Regional del Sur</t>
  </si>
  <si>
    <t>191PP Programa Administrativo del INCCOPY</t>
  </si>
  <si>
    <t>23PP Atención de Contribuyentes</t>
  </si>
  <si>
    <t>85PP Cohesión Social</t>
  </si>
  <si>
    <t>339PP Administración del Fideicomiso para el Desarrollo del Turismo de Reuniones en Yucatán (FIDETURE)</t>
  </si>
  <si>
    <t>164PP Administración de Recursos Humanos, Materiales, Financieros y Tecnológicos de la SAF</t>
  </si>
  <si>
    <t>35PP Adaptación a Eventos Meteorológicos Extremos</t>
  </si>
  <si>
    <t>120PP Fortalecimiento de la Confianza Ciudadana en la Procuración de Justicia</t>
  </si>
  <si>
    <t>234PP Gestión Pedagógica</t>
  </si>
  <si>
    <t>198PP Programa Integral Protégete</t>
  </si>
  <si>
    <t>25PP Prevención Social del Delito</t>
  </si>
  <si>
    <t>250PP Programa Administrativo del INDEMAYA</t>
  </si>
  <si>
    <t>211PP Desarrollo y Mejoramiento de la Gestión Administrativa de la Sedeculta</t>
  </si>
  <si>
    <t>119PP Aplicación de los Mecanismos Alternativos de Solución de Controversias</t>
  </si>
  <si>
    <t>128PP Administración y Control de los Recursos Humanos, Financieros y Materiales de la Secretaría General de Gobierno</t>
  </si>
  <si>
    <t>324PP Gastos Administrativos de la Universidad Politécnica de Yucatán</t>
  </si>
  <si>
    <t>220PP Atención de Alumnos del Nivel Medio Superior del Colegio de Bachilleres del Estado de Yucatán</t>
  </si>
  <si>
    <t>146PP Políticas Públicas en Materia de Prevención de Actos de Corrupción</t>
  </si>
  <si>
    <t>29PP Prestación de Servicios Registrales</t>
  </si>
  <si>
    <t>166PP Gestión y Administración de Recursos Humanos, Materiales, Financieros y Tecnológicos de la AAFY</t>
  </si>
  <si>
    <t>223PP Mejoramiento de la Eficiencia Terminal de la Universidad Tecnológica del Mayab</t>
  </si>
  <si>
    <t>327PP Administración de los recursos humanos, materiales y financieros de la EPY</t>
  </si>
  <si>
    <t>113PP Ciencia, Tecnología e Innovación</t>
  </si>
  <si>
    <t>207PP Operación de Unidades Deportivas</t>
  </si>
  <si>
    <t>7PP Justicia Laboral</t>
  </si>
  <si>
    <t>167PP Administración de Recursos Financieros</t>
  </si>
  <si>
    <t>16PP Programa Integral de Aplicación de Medidas de Tratamiento para los Adolescentes</t>
  </si>
  <si>
    <t>229PP Administración de Recursos Humanos, Materiales y Financieros del Colegio de Educación Profesional Técnica del Estado de Yucatán (Conalep Yucatán)</t>
  </si>
  <si>
    <t>230PP Atención de Alumnos de la Universidad Tecnológica del Centro - Izamal</t>
  </si>
  <si>
    <t>263PP Administración de Recursos Humanos, Materiales y de Servicios del IPF</t>
  </si>
  <si>
    <t>122PP Administración de Recursos Humanos, Financieros y Materiales de la Fiscalía General del Estado</t>
  </si>
  <si>
    <t>267PP Programa de Apoyo a Procesos Administrativos de la Seder</t>
  </si>
  <si>
    <t>245PP Administración de Recursos Materiales, Humanos y Financieros del Instituto de Becas y Crédito del Estado de Yucatán</t>
  </si>
  <si>
    <t>101PP Extensión e Innovación Productiva</t>
  </si>
  <si>
    <t>209PP Eficiencia en los Recursos Humanos, Administrativos y Financieros IDEY</t>
  </si>
  <si>
    <t>257PP Servicios Integrales y de Esparcimiento</t>
  </si>
  <si>
    <t>289PP Atención Integral a las Mujeres Víctimas de Violencia</t>
  </si>
  <si>
    <t>298PP Obesidad</t>
  </si>
  <si>
    <t>125PP Preservación de la Gobernabilidad y Atención a Derechos Humanos y Desarrollo de Gobierno</t>
  </si>
  <si>
    <t>186PP Conservación de los Recursos Naturales</t>
  </si>
  <si>
    <t>259PP Desarrollo Artesanal</t>
  </si>
  <si>
    <t>98PP Fomento al Empleo</t>
  </si>
  <si>
    <t>247PP Administración de los Recursos Humanos, Materiales y Financieros del Cecytey</t>
  </si>
  <si>
    <t>330PP Prevención y Control de Enfermedades Transmitidas por Vector</t>
  </si>
  <si>
    <t>288PP Atención Integral a las Víctimas del Delito</t>
  </si>
  <si>
    <t>116PP Fomento a la Innovación Empresarial</t>
  </si>
  <si>
    <t>264PP Administración de Recursos Humanos y Materiales del IYEM</t>
  </si>
  <si>
    <t>131PP Gestión de los Recursos Humanos, Financieros y Materiales del INDERM</t>
  </si>
  <si>
    <t>323PP Formación Especializada del Talento Humano de la Universidad Politécnica de Yucatán</t>
  </si>
  <si>
    <t>152PP Administración de los Recursos Humanos, Financieros y Materiales de COMDUTMEY</t>
  </si>
  <si>
    <t>253PP Programa Administrativo de Recursos Humanos y Control Presupuestal Sedesol</t>
  </si>
  <si>
    <t>318PP Yucatán Emprende</t>
  </si>
  <si>
    <t>136PP Auditorías y Otros Actos de Fiscalización al Sector Centralizado</t>
  </si>
  <si>
    <t>106PP Modernización del Sistema de Transporte en la Zona Metropolitana</t>
  </si>
  <si>
    <t>199PP Calidad en el Servicio</t>
  </si>
  <si>
    <t>110PP Formación de Capital Humano para la Economía del Conocimiento</t>
  </si>
  <si>
    <t>283PP Ciencia, Tecnología e Innovación de la Universidad Tecnológica Metropolitana</t>
  </si>
  <si>
    <t>188PP Ordenamiento Territorial y Desarrollo Urbano Sustentable</t>
  </si>
  <si>
    <t>108PP Servicios Turísticos</t>
  </si>
  <si>
    <t>331PP Prevención y Control de VIH, SIDA e Infecciones de Transmisión Sexual</t>
  </si>
  <si>
    <t>255PP Administración de la Secretaría de las Mujeres</t>
  </si>
  <si>
    <t>30PP Certeza Catastral, Notarial, Registral de la Propiedad y del Comercio</t>
  </si>
  <si>
    <t>197PP Vigilancia Epidemiológica</t>
  </si>
  <si>
    <t>174PP Administración de Recursos Materiales, Humanos y Financieros de la Secogey</t>
  </si>
  <si>
    <t>161PP Mejora de la Gestión Pública</t>
  </si>
  <si>
    <t>103PP Impulso a la Actividad  Acuícola y Pesquera</t>
  </si>
  <si>
    <t>333PP Gastos Administrativos de la Secretaría de Investigación, Innovación y Educación Superior</t>
  </si>
  <si>
    <t>158PP Formulación y Emisión de la Información Financiera</t>
  </si>
  <si>
    <t>75PP Calidad de la Educación Superior</t>
  </si>
  <si>
    <t>232PP Capacitación para el trabajo</t>
  </si>
  <si>
    <t>49PP Prevención y Atención de Accidentes</t>
  </si>
  <si>
    <t>77PP Formación de Profesionales del Arte</t>
  </si>
  <si>
    <t>252PP Planeación y Concertación Sectorial de la Sedesol</t>
  </si>
  <si>
    <t>135PP Procesos de Fiscalización Aplicado en las Entidades Paraestatales</t>
  </si>
  <si>
    <t>66PP Preservación, Fortalecimiento y Difusión del Patrimonio Cultural</t>
  </si>
  <si>
    <t>262PP Administración de Recursos Humanos, Financieros, Tecnológicos y Materiales de la Secretaría de Fomento Económico</t>
  </si>
  <si>
    <t>214PP Vinculación con Organizaciones Sociales, Agrupaciones y Asociaciones Religiosas</t>
  </si>
  <si>
    <t>222PP Calidad de los Procesos Administrativos de la Universidad Tecnológica Metropolitana</t>
  </si>
  <si>
    <t>180PP Gestionar, Organizar, Preservar y Proporcionar los Archivos Públicos del Gobierno del Estado</t>
  </si>
  <si>
    <t>308PP Administración y Control de los Recursos Humanos, Financieros y Materiales del REPSSY</t>
  </si>
  <si>
    <t>201PP Administración y Control de los Recursos Humanos, Financieros y Materiales del Hospital de la Amistad</t>
  </si>
  <si>
    <t>241PP Administración de Recursos del Instituto Tecnológico Superior Progreso</t>
  </si>
  <si>
    <t>156PP Programación, Presupuestación, Control y Seguimiento del Presupuesto de Egresos</t>
  </si>
  <si>
    <t>251PP Programa Institucional para la transverzalización de la perspectiva de género en las políticas públicas</t>
  </si>
  <si>
    <t>127PP Atención a Gestiones Ciudadanas e Institucionales</t>
  </si>
  <si>
    <t>193PP Administración de los Recursos Materiales y Humanos de la JEDEY</t>
  </si>
  <si>
    <t>150PP Programa de Infraestructura Indígena</t>
  </si>
  <si>
    <t>246PP Administración de Recursos Humanos, Materiales y Financieros del Instituto para el Desarrollo y Certificación de la Infraestructura Física Educativa de Yucatán</t>
  </si>
  <si>
    <t>213PP Administración de Figarosy</t>
  </si>
  <si>
    <t>336PP Administración de los Recursos Materiales, Humanos y Financieros del Fideicomiso</t>
  </si>
  <si>
    <t>147PP Actualización del Marco Jurídico Estatal</t>
  </si>
  <si>
    <t>159PP Administración del Patrimonio del Gobierno del Estado</t>
  </si>
  <si>
    <t>178PP Administración y Soporte de las Actividades Registrales, Notariales y Catastrales en el estado de Yucatán</t>
  </si>
  <si>
    <t>153PP Planeación</t>
  </si>
  <si>
    <t>231PP Programa de Mejora Administrativa de la ESAY</t>
  </si>
  <si>
    <t>203PP Administración y Control de los Recursos Humanos, Financieros y Materiales del Hospital Comunitario de Ticul</t>
  </si>
  <si>
    <t>243PP Gastos Administrativos de la Universidad Tecnológica del Centro</t>
  </si>
  <si>
    <t>266PP Planeación y Seguimiento de los Programas del Sector Rural</t>
  </si>
  <si>
    <t>183PP Administración de los Recursos Humanos, Materiales y Finanacieros de la Sedesu</t>
  </si>
  <si>
    <t>54PP Enfermedades Crónico degenerativas</t>
  </si>
  <si>
    <t>149PP Administración de Recursos Humanos, Materiales y Financieros de la Consejería Jurídica</t>
  </si>
  <si>
    <t>142PP Supervisión y Auditoría de Obra Pública</t>
  </si>
  <si>
    <t>148PP Gestión Jurídica de la Secretaría General del Estado</t>
  </si>
  <si>
    <t>154PP Operación Administrativa de la SEPLAN</t>
  </si>
  <si>
    <t>343PP Vigilancia y Evaluación de la ASEY</t>
  </si>
  <si>
    <t>190PP Planeación y Seguimiento de la Obra Pública</t>
  </si>
  <si>
    <t>181PP Asesoría y Gestión a Sujetos de Derechos Agrarios</t>
  </si>
  <si>
    <t>192PP Administración de Recursos Humanos, Materiales y Financieros de la SOP</t>
  </si>
  <si>
    <t>134PP Evaluación y Seguimiento a las Auditorías y Otros Actos de Fiscalización</t>
  </si>
  <si>
    <t>238PP Administración de los Recursos Materiales, Financieros y Humanos de la Universidad Tecnológica Regional del Sur</t>
  </si>
  <si>
    <t>240PP Administración de los Recursos Humanos, Materiales y Financieros del Instituto Tecnológico Superior del Estado de Yucatán</t>
  </si>
  <si>
    <t>184PP Atención y Servicios a la Población</t>
  </si>
  <si>
    <t>202PP Administración y Control de los Recursos Humanos, Financieros y Materiales del Hospital Comunitario de Peto</t>
  </si>
  <si>
    <t>282PP Fortalecimiento de la Vinculación en la Universidad Tecnológica del Poniente</t>
  </si>
  <si>
    <t>50PP Sangre Segura</t>
  </si>
  <si>
    <t>145PP Calidad Ambiental</t>
  </si>
  <si>
    <t>94PP Inversiones para el Crecimiento Económico</t>
  </si>
  <si>
    <t>270PP Mantenimiento y Rehabilitación de las Unidades Turísticas del Estado de Yucatán</t>
  </si>
  <si>
    <t>132PP Sistema de Evaluación del Desempeño</t>
  </si>
  <si>
    <t>140PP Auditorías a Programas Federales</t>
  </si>
  <si>
    <t>45PP Servicios de Salud a la Comunidad</t>
  </si>
  <si>
    <t>133PP Rendición de Cuentas de Políticas Públicas</t>
  </si>
  <si>
    <t>51PP Salud de la Mujer</t>
  </si>
  <si>
    <t>237PP Recursos Humanos, Materiales y Financieros de la Universidad Oriente</t>
  </si>
  <si>
    <t>124PP Apoyo a Adultos Liberados y Adolescentes Externados</t>
  </si>
  <si>
    <t>242PP Recursos Humanos, Materiales y Financieros del Instituto Tecnológico Superior de Motul</t>
  </si>
  <si>
    <t>334PP Administración de los Recursos Humanos, Financieros y Materiales de la Comisión Ejecutiva Estatal de Atención a Víctimas</t>
  </si>
  <si>
    <t>325PP Administración y Control de los Recursos Humanos, Financieros y Materiales del Hospital General de Tekax</t>
  </si>
  <si>
    <t>332PP Prevención y Control de Enfermedades Zoonóticas</t>
  </si>
  <si>
    <t>141PP Planeación Demográfica</t>
  </si>
  <si>
    <t>261PP Administración de Recursos Humanos, Materiales y Operativos de la CAEY</t>
  </si>
  <si>
    <t>300PP Administración Eficiente de los Recursos Humanos, Materiales y Financieros del Instituto Tecnológico Superior de Valladolid</t>
  </si>
  <si>
    <t>338PP Administración de los Recursos Materiales, Financieros y Económicos de la Agencia para el Desarrollo de Yucatán</t>
  </si>
  <si>
    <t>157PP Integración de la Cartera y Gestión de Recursos Federales para la Inversión Pública</t>
  </si>
  <si>
    <t>137PP Integración y Certeza Jurídica en los Resultados de las Auditorías, Inspecciones e Investigaciones</t>
  </si>
  <si>
    <t>118PP Trasplante de Órganos</t>
  </si>
  <si>
    <t>90PP Atención en Salud a Personas Sujetas a Asistencia Social</t>
  </si>
  <si>
    <t>143PP Normatividad de Adquisiciones, Servicios y Obra Pública</t>
  </si>
  <si>
    <t>280PP Vinculación del Instituto Tecnológico Superior de Motul</t>
  </si>
  <si>
    <t>57PP Resolución Alterna de Conflictos del Acto Médico en Yucatán</t>
  </si>
  <si>
    <t>294PP Administración de Recursos Humanos Financieros y Materiales de la Universidad Tecnológica del Poniente</t>
  </si>
  <si>
    <t>64PP Fomento y Promoción del Hábito a la Lectura y la Producción Literaria y Editorial</t>
  </si>
  <si>
    <t>95PP Mejora Regulatoria</t>
  </si>
  <si>
    <t>65PP Fomento a la Educación Artística</t>
  </si>
  <si>
    <t>239PP Administración de la Universidad Tecnológica del Mayab</t>
  </si>
  <si>
    <t>155PP Seguimiento del Desempeño de la Gestión</t>
  </si>
  <si>
    <t>48PP Fortalecimiento a la Atención Médica</t>
  </si>
  <si>
    <t>168PP Administración de Recursos Materiales Humanos y Financieros del Despacho del Gobernador</t>
  </si>
  <si>
    <t>55PP Envejecimiento</t>
  </si>
  <si>
    <t>275PP Vinculación, Promoción y Gestión con el Sector Productivo de la Universidad Tecnológica Regional del Sur</t>
  </si>
  <si>
    <t>329PP Prevención y Control de la Micobacteriosis</t>
  </si>
  <si>
    <t>279PP Vinculación de la Universidad Tecnológica del Centro</t>
  </si>
  <si>
    <t>82PP Población Maya</t>
  </si>
  <si>
    <t>205PP Administración y Control de los Recursos Humanos, Financieros y Materiales de APBPY</t>
  </si>
  <si>
    <t>328PP Prevención y Control de Cólera</t>
  </si>
  <si>
    <t>130PP Programa de Fortalecimiento Institucional Municipal y Desarrollo Regional</t>
  </si>
  <si>
    <t>206PP Administración y Control de los Recursos Humanos, Financieros y Materiales del CEETRY</t>
  </si>
  <si>
    <t>175PP Cobertura en Educación Superior de la Universidad Autónoma de Yucatán</t>
  </si>
  <si>
    <t>177PP Patrimonio Seguro</t>
  </si>
  <si>
    <t>276PP Vinculación con el Sector Productivo y la Sociedad de la Universidad Tecnológica del Mayab</t>
  </si>
  <si>
    <t>126PP Oportunidades en el Ámbito Internacional</t>
  </si>
  <si>
    <t>281PP Vinculación con el Sector Público, Social y Productivo del Estado- Instituto Tecnológico Superior Progreso</t>
  </si>
  <si>
    <t>83PP Medicina Tradicional Maya</t>
  </si>
  <si>
    <t>138PP Legalidad en Materia de Situación Patrimonial</t>
  </si>
  <si>
    <t>34PP Mitigación</t>
  </si>
  <si>
    <t>139PP Asesoría en Contraloría Social a Beneficiarios de Programas Sociales</t>
  </si>
  <si>
    <t>144PP Responsabilidades de los Servidores Públicos</t>
  </si>
  <si>
    <t>Ejecución</t>
  </si>
  <si>
    <t>Proporcionar información</t>
  </si>
  <si>
    <t>Componente 1 = B1 + B2 + B3</t>
  </si>
  <si>
    <t>Atribución legal
CAPY/RECAPY</t>
  </si>
  <si>
    <t>Módulo 4. Matriz de Indicadores de Resultados</t>
  </si>
  <si>
    <t>Pantalla inicial (se conserva la estructura inicial del SIGEY)</t>
  </si>
  <si>
    <t>La información que aparece es la que le corresponde a cada dependencia/entidad.</t>
  </si>
  <si>
    <t>En los campos relacionados con la MIR, al ingresar se captura toda la información para su documentación, incluyendo los indicadores.</t>
  </si>
  <si>
    <t>Abajo se muestra la MIR con los elementos para su captura, esta desplega ventanas para completar la información relacionada.</t>
  </si>
  <si>
    <t>Por default, cuando ingresas al módulo apareces en "Información del PP".</t>
  </si>
  <si>
    <t>El apartado de información del PP debe contener:</t>
  </si>
  <si>
    <t>Clave:</t>
  </si>
  <si>
    <t>087PP</t>
  </si>
  <si>
    <t>Automático (procede desde la captura inicial de la plantilla).</t>
  </si>
  <si>
    <t>Nombre:</t>
  </si>
  <si>
    <t>Sujetos en condición de vulnerabilidad</t>
  </si>
  <si>
    <t>Estructura funcional programática:</t>
  </si>
  <si>
    <t>02.02.06.08.087PP</t>
  </si>
  <si>
    <t>Esta parte SAF la realiza mediante una ramificación de valores.</t>
  </si>
  <si>
    <t>Tipo de programa:</t>
  </si>
  <si>
    <t>S - Sujetos a Reglas de Operación</t>
  </si>
  <si>
    <t>Lista desplegable (determinar donde se debe capturar).</t>
  </si>
  <si>
    <t>Pob objetivo:</t>
  </si>
  <si>
    <t>Sujetos en condición de vulnerabilidad (personas sujetas de asistencia social y migrantes)</t>
  </si>
  <si>
    <t>Automático (procede del módulo 3).</t>
  </si>
  <si>
    <t>Dependencia responsable:</t>
  </si>
  <si>
    <t>Secretaría de Desarrollo Social</t>
  </si>
  <si>
    <t>Compromiso:</t>
  </si>
  <si>
    <t>Fortalecer la entrega de raciones alimenticias de los programas sociales dirigidos a niños y niñas con calidad nutricia y promover la lactancia exclusiva durante los primeros 6 meses de vida</t>
  </si>
  <si>
    <t>Lista desplegable con todos los compromisos del gobierno. Se puede seleccionar uno o más.</t>
  </si>
  <si>
    <t>Compromiso de género</t>
  </si>
  <si>
    <t>Esta función la establece SAF.</t>
  </si>
  <si>
    <t>Resumen narrativo</t>
  </si>
  <si>
    <t>Vinculo o procedencia</t>
  </si>
  <si>
    <t>Regla de sintaxis</t>
  </si>
  <si>
    <t>Indicadores</t>
  </si>
  <si>
    <t>Supuestos</t>
  </si>
  <si>
    <t>Fin</t>
  </si>
  <si>
    <t>Contribuir a + (lista desplegable para seleccionar el obj del PED) + mediante + (texto libre de cómo se logra el Fin)</t>
  </si>
  <si>
    <t>El fin está directamente vinculado con el árbol de objetivo a nivel de fines, mismo que se relaciona con un objetivo del Plan Estatal de Desarrollo, el cual se captura en el módulo X.</t>
  </si>
  <si>
    <r>
      <t xml:space="preserve">El fin se redacta en función de “una contribución”. De esa forma, el verbo contribuir se redacta en “presente indicativo”; en tanto que el verbo de impacto, se redacta en “infinitivo”. De acuerdo con la guía metodológica para la construcción de la matriz de Indicadores, editada por la SHCP, SFP, y el CONEVAL, la sintaxis que recomiendan es redactar el verbo correspondiente a la contribución en “infinitivo” acompañado por el verbo de impacto “como el sustantivo derivado de un verbo”, agregando a la frase, en todos los casos, la palabra “mediante”, y finalmente expresar “cómo se logra el Fin”. Por ejemplo: </t>
    </r>
    <r>
      <rPr>
        <b/>
        <i/>
        <u/>
        <sz val="11"/>
        <color theme="1"/>
        <rFont val="Calibri"/>
        <family val="2"/>
        <scheme val="minor"/>
      </rPr>
      <t>Contribuir al incremento</t>
    </r>
    <r>
      <rPr>
        <sz val="11"/>
        <color theme="1"/>
        <rFont val="Calibri"/>
        <family val="2"/>
        <scheme val="minor"/>
      </rPr>
      <t xml:space="preserve"> de la </t>
    </r>
    <r>
      <rPr>
        <b/>
        <i/>
        <u/>
        <sz val="11"/>
        <color theme="1"/>
        <rFont val="Calibri"/>
        <family val="2"/>
        <scheme val="minor"/>
      </rPr>
      <t>competitividad</t>
    </r>
    <r>
      <rPr>
        <sz val="11"/>
        <color theme="1"/>
        <rFont val="Calibri"/>
        <family val="2"/>
        <scheme val="minor"/>
      </rPr>
      <t xml:space="preserve"> estatal </t>
    </r>
    <r>
      <rPr>
        <b/>
        <i/>
        <u/>
        <sz val="11"/>
        <color theme="1"/>
        <rFont val="Calibri"/>
        <family val="2"/>
        <scheme val="minor"/>
      </rPr>
      <t>mediante</t>
    </r>
    <r>
      <rPr>
        <sz val="11"/>
        <color theme="1"/>
        <rFont val="Calibri"/>
        <family val="2"/>
        <scheme val="minor"/>
      </rPr>
      <t xml:space="preserve"> acciones que impulsan la inversión privada.</t>
    </r>
  </si>
  <si>
    <t>Automático (es parte de la información que se captura en indicadores y será por variable)
Variable A
Variable B
Variable C
Variable D</t>
  </si>
  <si>
    <t xml:space="preserve">Un supuesto es una alternativa de solución que coadyuva de manera importante a resolver el problema que dio origen al diseño del programa.
</t>
  </si>
  <si>
    <t>Población objetivo (este se captura en el módulo X) + verbo en presente indicativo + texto que complementa el propósito</t>
  </si>
  <si>
    <t>El propósito está directamente vinculado con el árbol de problemas a nivel de problemática central y al árbol de objetivos a nivel de objetivo central, el cual se captura en el módulo X. Por tanto lo adecuado es que aparezca como consulta.</t>
  </si>
  <si>
    <r>
      <t xml:space="preserve">Éste se redacta en función “de los beneficiarios”, de tal forma que expresa de manera clara y precisa, “quiénes están realizando la acción”. El verbo de este objetivo se redacta en “presente indicativo”, el motivo de este estilo de redacción se debe a que, una vez que los beneficiarios utilizan los bienes y servicios que integran el programa, alcanzan el nivel de bienestar esperado. Por ejemplo: Los emprendedores </t>
    </r>
    <r>
      <rPr>
        <b/>
        <i/>
        <u/>
        <sz val="11"/>
        <color theme="1"/>
        <rFont val="Calibri"/>
        <family val="2"/>
        <scheme val="minor"/>
      </rPr>
      <t>invierten</t>
    </r>
    <r>
      <rPr>
        <sz val="11"/>
        <color theme="1"/>
        <rFont val="Calibri"/>
        <family val="2"/>
        <scheme val="minor"/>
      </rPr>
      <t xml:space="preserve"> en proyectos de negocio.</t>
    </r>
  </si>
  <si>
    <t>Componentes</t>
  </si>
  <si>
    <t>El componente tiene redacción libre, en función a las reglas de sintaxis, y una vez capturado se debe relacionar a uno o más medios del árbol de objetivos.</t>
  </si>
  <si>
    <t>Los componentes están directamente vinculados con el árbol de objetivo a nivel de medios, los cuales se capturan en el módulo X. Aquí es importante realizar una relación de información, ya que un componente debe estar relacionado cuando menos a un medio del árbol, no se pueden tener componentes que no tengan relación con el árbol de objetivos.
Aquí es importante destacar que se deberá asignar responsable por componente (dependencia/entidad + dirección + área responsable de la información).</t>
  </si>
  <si>
    <r>
      <t xml:space="preserve">Los objetivos que expresan los componentes, se redactan en función de los bienes y servicios que reciben los beneficiarios del programa; de tal forma que expresan de manera concreta y específica, los productos que han sido entregados y recibidos. Por tales motivos, el verbo o acción que se expresa en cada componente, se enuncia en “pasado participio”. Por ejemplo: Fondos de fomento económico a tasas de interés preferencial </t>
    </r>
    <r>
      <rPr>
        <b/>
        <i/>
        <u/>
        <sz val="11"/>
        <color theme="1"/>
        <rFont val="Calibri"/>
        <family val="2"/>
        <scheme val="minor"/>
      </rPr>
      <t>recibidos</t>
    </r>
    <r>
      <rPr>
        <sz val="11"/>
        <color theme="1"/>
        <rFont val="Calibri"/>
        <family val="2"/>
        <scheme val="minor"/>
      </rPr>
      <t>.</t>
    </r>
  </si>
  <si>
    <t>Actividades</t>
  </si>
  <si>
    <t>Las actividades tienen redacción libre, en función a las reglas de sintaxis.</t>
  </si>
  <si>
    <t>Las actividades se relacionan directamente con los componentes, ya que son los elementos que se deben elaborar para darle cumplimiento al componente. Ellas tienen naturaleza en los árboles como medios operativos. Cuando se agrega un componente se deben agregar sus actividades.</t>
  </si>
  <si>
    <r>
      <t xml:space="preserve">Dadas las características de gestión, expresan de manera expedita la forma en que los insumos se movilizan; esto es, las acciones que realiza la dependencia, institución u organismo, en forma de “procesos” implicados en la producción y entrega de componentes. Por tanto, estos objetivos se enuncian como el sustantivo derivado de un verbo, complementado por el proceso específico. Por ejemplo: </t>
    </r>
    <r>
      <rPr>
        <b/>
        <i/>
        <u/>
        <sz val="11"/>
        <color theme="1"/>
        <rFont val="Calibri"/>
        <family val="2"/>
        <scheme val="minor"/>
      </rPr>
      <t>Reducción de requerimientos gubernamentales para la apertura y operación de negocios</t>
    </r>
    <r>
      <rPr>
        <sz val="11"/>
        <color theme="1"/>
        <rFont val="Calibri"/>
        <family val="2"/>
        <scheme val="minor"/>
      </rPr>
      <t>.</t>
    </r>
  </si>
  <si>
    <t>Censo/conteo</t>
  </si>
  <si>
    <t>Insumos</t>
  </si>
  <si>
    <t>Eficacia</t>
  </si>
  <si>
    <t>Ascendente</t>
  </si>
  <si>
    <t>Número</t>
  </si>
  <si>
    <t>Menor a un mes</t>
  </si>
  <si>
    <t>Nacional</t>
  </si>
  <si>
    <t>Encuesta</t>
  </si>
  <si>
    <t>Eficiencia</t>
  </si>
  <si>
    <t>Descendente</t>
  </si>
  <si>
    <t>Diferencia</t>
  </si>
  <si>
    <t>Mensual</t>
  </si>
  <si>
    <t>Nacional/Estatal</t>
  </si>
  <si>
    <t>Registro administrativo</t>
  </si>
  <si>
    <t>Productos/servicios</t>
  </si>
  <si>
    <t>Economía</t>
  </si>
  <si>
    <t>Constante</t>
  </si>
  <si>
    <t>Porcentaje</t>
  </si>
  <si>
    <t>Bimestral</t>
  </si>
  <si>
    <t>Nacional/Estatal/Municipal</t>
  </si>
  <si>
    <t>Metadatos</t>
  </si>
  <si>
    <t>Resultados</t>
  </si>
  <si>
    <t>Calidad</t>
  </si>
  <si>
    <t>Variación porcentual</t>
  </si>
  <si>
    <t>Trimestral</t>
  </si>
  <si>
    <t>Nacional/Estatal/Municipal/Localidad</t>
  </si>
  <si>
    <t>Nombre del Indicador</t>
  </si>
  <si>
    <t>Texto libre</t>
  </si>
  <si>
    <t>Impacto</t>
  </si>
  <si>
    <t>Promedio</t>
  </si>
  <si>
    <t>Cuatrimestral</t>
  </si>
  <si>
    <t>Nacional/Estatal/Municipal/Localidad/AGEB</t>
  </si>
  <si>
    <t>Definición</t>
  </si>
  <si>
    <t>Si</t>
  </si>
  <si>
    <t>Tasa</t>
  </si>
  <si>
    <t>Semestral</t>
  </si>
  <si>
    <t>Nacional/Estatal/Municipal/Localidad/AGEB/Manzana</t>
  </si>
  <si>
    <t>Tipo de algoritmo</t>
  </si>
  <si>
    <t>Lista desplegable</t>
  </si>
  <si>
    <t>No</t>
  </si>
  <si>
    <t>Tasa de crecimiento</t>
  </si>
  <si>
    <t>Anual</t>
  </si>
  <si>
    <t>Fórmula de cálculo</t>
  </si>
  <si>
    <t>Este campo está condicionado con el anterior, al seleccionar el tipo de algoritmo te debe asignar la fórmula de cálculo.</t>
  </si>
  <si>
    <t>Razón</t>
  </si>
  <si>
    <t>Ciclo escolar</t>
  </si>
  <si>
    <t>Periodicidad de cálculo</t>
  </si>
  <si>
    <t>Índice</t>
  </si>
  <si>
    <t>Bienal</t>
  </si>
  <si>
    <t>Tendencia</t>
  </si>
  <si>
    <t>Trienal</t>
  </si>
  <si>
    <t>Dimensión</t>
  </si>
  <si>
    <t>Quinquenal</t>
  </si>
  <si>
    <t>Ámbito de medición</t>
  </si>
  <si>
    <t>Sexenal</t>
  </si>
  <si>
    <t>Dependencia o Entidad responsable del seguimiento</t>
  </si>
  <si>
    <t>Decenal</t>
  </si>
  <si>
    <t>Observación</t>
  </si>
  <si>
    <t>Documentación de variables</t>
  </si>
  <si>
    <t>El número de variables está directamente relacionado con la fórmula de cálculo y el tipo de algoritmo. Es decir, solo verás las variables que componen la fórmula.</t>
  </si>
  <si>
    <t>Variable A</t>
  </si>
  <si>
    <t>Descripción de la variable</t>
  </si>
  <si>
    <t>Unidad de medida</t>
  </si>
  <si>
    <t>Texto libre (posible catálogo de unidades de medida)</t>
  </si>
  <si>
    <t>Fecha</t>
  </si>
  <si>
    <t>Texto libre (mes + año)</t>
  </si>
  <si>
    <t>Texto libre con la siguiente estructura: Siglas o acrónimo del organismo, nombre del producto estadístico y año. Campo para agregar el link.</t>
  </si>
  <si>
    <t>Tipo de producto estadístico</t>
  </si>
  <si>
    <t>Desagregación por sexo</t>
  </si>
  <si>
    <t>Cobertura geográfica</t>
  </si>
  <si>
    <t>Instrumento de recolección de información</t>
  </si>
  <si>
    <t>Programa informático/software de almacenamiento</t>
  </si>
  <si>
    <t>Periodicidad de la producción de información</t>
  </si>
  <si>
    <t>Texto libre (posible lista desplegable)</t>
  </si>
  <si>
    <t>Responsable de la producción de información</t>
  </si>
  <si>
    <t>Texto libre (posible lista desplegable, Dependencia o Entidad + Dirección Administrativa + Área Administrativa)</t>
  </si>
  <si>
    <t>Variable B</t>
  </si>
  <si>
    <t>Variable C</t>
  </si>
  <si>
    <t>Variable "n"…</t>
  </si>
  <si>
    <t>Línea base o valor de referencia</t>
  </si>
  <si>
    <t>Valor</t>
  </si>
  <si>
    <t>Automático, se hace por medio de la relación de las variables y el tipo de algoritmo.</t>
  </si>
  <si>
    <t>Valor variable B</t>
  </si>
  <si>
    <t>Captura libre</t>
  </si>
  <si>
    <t>Valor variable C</t>
  </si>
  <si>
    <t>Valor variable D</t>
  </si>
  <si>
    <t>Metas</t>
  </si>
  <si>
    <t>Automático, se hace por medio de la relación de las variables y el tipo de algoritmo</t>
  </si>
  <si>
    <t xml:space="preserve"> Transparencia y Rendición de Cuentas</t>
  </si>
  <si>
    <t>Agrega todos los informes de desempeño que por normatividad deben ser publicados o presentados.</t>
  </si>
  <si>
    <t>Nombre del reporte</t>
  </si>
  <si>
    <t>Descripción general de la información reportada</t>
  </si>
  <si>
    <t>Periodicidad</t>
  </si>
  <si>
    <t>Responsable de la integración</t>
  </si>
  <si>
    <t>Avance trimestral de Indicadores de Programas Presupuestarios</t>
  </si>
  <si>
    <t>Listado triple (Dependencia/entidad + Dirección + Área)</t>
  </si>
  <si>
    <t>Informe de Gobierno</t>
  </si>
  <si>
    <t>("n" cantidad de informes)</t>
  </si>
  <si>
    <t>Selecciona el Objetivo de Desarrollo Sostenible al que se alinea</t>
  </si>
  <si>
    <t>Selecciona la Meta del ODS</t>
  </si>
  <si>
    <t>Selecciona el Eje del Plan Nacional de Desarrollo</t>
  </si>
  <si>
    <t>Selecciona el objetivo del PND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</si>
</sst>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23">
    <font>
      <sz val="11"/>
      <color theme="1"/>
      <name val="Calibri"/>
      <family val="2"/>
      <scheme val="minor"/>
    </font>
    <font>
      <b/>
      <sz val="11"/>
      <color theme="1"/>
      <name val="Calibri"/>
      <family val="2"/>
      <scheme val="minor"/>
    </font>
    <font>
      <sz val="11"/>
      <color theme="0"/>
      <name val="Calibri"/>
      <family val="2"/>
      <scheme val="minor"/>
    </font>
    <font>
      <sz val="10"/>
      <color rgb="FF000000"/>
      <name val="Verdana"/>
      <family val="2"/>
    </font>
    <font>
      <b/>
      <sz val="10"/>
      <color rgb="FFFFFFFF"/>
      <name val="Verdana"/>
      <family val="2"/>
    </font>
    <font>
      <sz val="10"/>
      <color rgb="FFFFFFFF"/>
      <name val="Verdana"/>
      <family val="2"/>
    </font>
    <font>
      <sz val="10"/>
      <color rgb="FFFF9900"/>
      <name val="Verdana"/>
      <family val="2"/>
    </font>
    <font>
      <sz val="9"/>
      <color indexed="81"/>
      <name val="Tahoma"/>
      <family val="2"/>
    </font>
    <font>
      <b/>
      <sz val="9"/>
      <color indexed="81"/>
      <name val="Tahoma"/>
      <family val="2"/>
    </font>
    <font>
      <sz val="8"/>
      <color rgb="FF000000"/>
      <name val="Segoe UI"/>
      <family val="2"/>
    </font>
    <font>
      <sz val="11"/>
      <color rgb="FF000000"/>
      <name val="Calibri"/>
      <family val="2"/>
    </font>
    <font>
      <sz val="11"/>
      <name val="Calibri"/>
      <family val="2"/>
      <scheme val="minor"/>
    </font>
    <font>
      <b/>
      <sz val="12"/>
      <name val="Calibri"/>
      <family val="2"/>
      <scheme val="minor"/>
    </font>
    <font>
      <i/>
      <sz val="10"/>
      <name val="Calibri"/>
      <family val="2"/>
      <scheme val="minor"/>
    </font>
    <font>
      <b/>
      <sz val="10"/>
      <color rgb="FFFFFFFF"/>
      <name val="Barlow"/>
    </font>
    <font>
      <sz val="10"/>
      <color theme="1"/>
      <name val="Calibri"/>
      <family val="2"/>
      <scheme val="minor"/>
    </font>
    <font>
      <sz val="11"/>
      <color rgb="FF000000"/>
      <name val="Calibri"/>
      <family val="2"/>
      <scheme val="minor"/>
    </font>
    <font>
      <b/>
      <sz val="11"/>
      <color theme="0"/>
      <name val="Calibri"/>
      <family val="2"/>
      <scheme val="minor"/>
    </font>
    <font>
      <sz val="10"/>
      <color rgb="FF000000"/>
      <name val="Barlow"/>
    </font>
    <font>
      <b/>
      <sz val="12"/>
      <color theme="1"/>
      <name val="Calibri"/>
      <family val="2"/>
      <scheme val="minor"/>
    </font>
    <font>
      <i/>
      <sz val="11"/>
      <color theme="1"/>
      <name val="Calibri"/>
      <family val="2"/>
      <scheme val="minor"/>
    </font>
    <font>
      <b/>
      <i/>
      <u/>
      <sz val="11"/>
      <color theme="1"/>
      <name val="Calibri"/>
      <family val="2"/>
      <scheme val="minor"/>
    </font>
    <font>
      <b/>
      <sz val="11"/>
      <color rgb="FFFFFFFF"/>
      <name val="Calibri"/>
      <family val="2"/>
      <scheme val="minor"/>
    </font>
  </fonts>
  <fills count="13">
    <fill>
      <patternFill patternType="none"/>
    </fill>
    <fill>
      <patternFill patternType="gray125"/>
    </fill>
    <fill>
      <patternFill patternType="solid">
        <fgColor rgb="FF66CC33"/>
        <bgColor indexed="64"/>
      </patternFill>
    </fill>
    <fill>
      <patternFill patternType="solid">
        <fgColor theme="0"/>
        <bgColor indexed="64"/>
      </patternFill>
    </fill>
    <fill>
      <patternFill patternType="solid">
        <fgColor rgb="FFFFFFFF"/>
        <bgColor indexed="64"/>
      </patternFill>
    </fill>
    <fill>
      <patternFill patternType="solid">
        <fgColor rgb="FFFF990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00206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4"/>
        <bgColor indexed="64"/>
      </patternFill>
    </fill>
    <fill>
      <patternFill patternType="solid">
        <fgColor theme="4" tint="-0.249977111117893"/>
        <bgColor indexed="64"/>
      </patternFill>
    </fill>
  </fills>
  <borders count="39">
    <border>
      <left/>
      <right/>
      <top/>
      <bottom/>
      <diagonal/>
    </border>
    <border>
      <left style="medium">
        <color auto="1"/>
      </left>
      <right style="medium">
        <color auto="1"/>
      </right>
      <top style="medium">
        <color auto="1"/>
      </top>
      <bottom style="medium">
        <color auto="1"/>
      </bottom>
      <diagonal/>
    </border>
    <border>
      <left style="thin">
        <color rgb="FF66CC33"/>
      </left>
      <right style="thin">
        <color rgb="FF66CC33"/>
      </right>
      <top style="thin">
        <color rgb="FF66CC33"/>
      </top>
      <bottom style="thin">
        <color rgb="FF66CC33"/>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diagonal/>
    </border>
    <border>
      <left style="thin">
        <color rgb="FFFF9900"/>
      </left>
      <right style="thin">
        <color rgb="FFFF9900"/>
      </right>
      <top style="thin">
        <color rgb="FFFF9900"/>
      </top>
      <bottom style="thin">
        <color rgb="FFFF9900"/>
      </bottom>
      <diagonal/>
    </border>
    <border>
      <left style="thin">
        <color rgb="FFFF9900"/>
      </left>
      <right style="thin">
        <color rgb="FFFF9900"/>
      </right>
      <top style="thin">
        <color rgb="FFFF9900"/>
      </top>
      <bottom/>
      <diagonal/>
    </border>
    <border>
      <left style="thin">
        <color rgb="FFFF9900"/>
      </left>
      <right style="thin">
        <color rgb="FFFF9900"/>
      </right>
      <top/>
      <bottom style="thin">
        <color rgb="FFFF9900"/>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auto="1"/>
      </top>
      <bottom style="thin">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auto="1"/>
      </left>
      <right style="thin">
        <color auto="1"/>
      </right>
      <top style="medium">
        <color rgb="FF000000"/>
      </top>
      <bottom style="thin">
        <color auto="1"/>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151">
    <xf numFmtId="0" fontId="0" fillId="0" borderId="0" xfId="0"/>
    <xf numFmtId="0" fontId="4" fillId="2" borderId="2" xfId="0" applyFont="1" applyFill="1" applyBorder="1" applyAlignment="1">
      <alignment vertical="center" wrapText="1"/>
    </xf>
    <xf numFmtId="0" fontId="3" fillId="0" borderId="2" xfId="0" applyFont="1" applyBorder="1" applyAlignment="1">
      <alignment horizontal="center" vertical="center" wrapText="1"/>
    </xf>
    <xf numFmtId="0" fontId="3" fillId="0" borderId="2" xfId="0" applyFont="1" applyBorder="1" applyAlignment="1">
      <alignment vertical="center" wrapText="1"/>
    </xf>
    <xf numFmtId="3" fontId="3" fillId="0" borderId="2" xfId="0" applyNumberFormat="1" applyFont="1" applyBorder="1" applyAlignment="1">
      <alignment horizontal="center" vertical="center" wrapText="1"/>
    </xf>
    <xf numFmtId="0" fontId="0" fillId="3" borderId="0" xfId="0" applyFill="1"/>
    <xf numFmtId="0" fontId="1" fillId="3" borderId="0" xfId="0" applyFont="1" applyFill="1"/>
    <xf numFmtId="0" fontId="0" fillId="3" borderId="1" xfId="0" applyFill="1" applyBorder="1" applyAlignment="1">
      <alignment vertical="top" wrapText="1"/>
    </xf>
    <xf numFmtId="0" fontId="0" fillId="3" borderId="1" xfId="0" applyFill="1" applyBorder="1"/>
    <xf numFmtId="0" fontId="0" fillId="3" borderId="1" xfId="0" applyFill="1" applyBorder="1" applyAlignment="1">
      <alignment horizontal="left" vertical="top" wrapText="1"/>
    </xf>
    <xf numFmtId="0" fontId="0" fillId="3" borderId="0" xfId="0" applyFill="1" applyBorder="1" applyAlignment="1">
      <alignment vertical="top" wrapText="1"/>
    </xf>
    <xf numFmtId="0" fontId="0" fillId="3" borderId="0" xfId="0" applyFill="1" applyBorder="1" applyAlignment="1">
      <alignment horizontal="left" vertical="top" wrapText="1"/>
    </xf>
    <xf numFmtId="0" fontId="0" fillId="3" borderId="0" xfId="0" applyFill="1" applyAlignment="1">
      <alignment horizontal="left" vertical="top" wrapText="1"/>
    </xf>
    <xf numFmtId="0" fontId="0" fillId="3" borderId="0" xfId="0" applyFill="1" applyBorder="1"/>
    <xf numFmtId="0" fontId="6" fillId="4" borderId="7" xfId="0" applyFont="1" applyFill="1" applyBorder="1" applyAlignment="1">
      <alignment vertical="center" wrapText="1"/>
    </xf>
    <xf numFmtId="0" fontId="3" fillId="4" borderId="7" xfId="0" applyFont="1" applyFill="1" applyBorder="1" applyAlignment="1">
      <alignment vertical="center" wrapText="1"/>
    </xf>
    <xf numFmtId="0" fontId="0" fillId="6" borderId="0" xfId="0" applyFill="1"/>
    <xf numFmtId="0" fontId="0" fillId="3" borderId="0" xfId="0" applyFill="1" applyAlignment="1">
      <alignment wrapText="1"/>
    </xf>
    <xf numFmtId="0" fontId="0" fillId="7" borderId="0" xfId="0" applyFill="1"/>
    <xf numFmtId="0" fontId="0" fillId="3" borderId="10" xfId="0" applyFill="1" applyBorder="1"/>
    <xf numFmtId="0" fontId="1" fillId="3" borderId="10" xfId="0" applyFont="1" applyFill="1" applyBorder="1"/>
    <xf numFmtId="0" fontId="0" fillId="3" borderId="0" xfId="0" applyFill="1" applyBorder="1" applyAlignment="1">
      <alignment horizontal="left" vertical="top"/>
    </xf>
    <xf numFmtId="0" fontId="2" fillId="3" borderId="0" xfId="0" applyFont="1" applyFill="1"/>
    <xf numFmtId="0" fontId="2" fillId="3" borderId="0" xfId="0" applyFont="1" applyFill="1" applyAlignment="1">
      <alignment horizontal="left"/>
    </xf>
    <xf numFmtId="0" fontId="11" fillId="3" borderId="0" xfId="0" applyFont="1" applyFill="1"/>
    <xf numFmtId="0" fontId="11" fillId="3" borderId="1" xfId="0" applyFont="1" applyFill="1" applyBorder="1"/>
    <xf numFmtId="0" fontId="13" fillId="3" borderId="1" xfId="0" applyFont="1" applyFill="1" applyBorder="1"/>
    <xf numFmtId="0" fontId="13" fillId="3" borderId="0" xfId="0" applyFont="1" applyFill="1"/>
    <xf numFmtId="0" fontId="14" fillId="8" borderId="16"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0" xfId="0" applyFont="1" applyFill="1" applyBorder="1"/>
    <xf numFmtId="0" fontId="11" fillId="3" borderId="14" xfId="0" applyFont="1" applyFill="1" applyBorder="1"/>
    <xf numFmtId="0" fontId="11" fillId="3" borderId="15" xfId="0" applyFont="1" applyFill="1" applyBorder="1"/>
    <xf numFmtId="0" fontId="11" fillId="3" borderId="21" xfId="0" applyFont="1" applyFill="1" applyBorder="1"/>
    <xf numFmtId="0" fontId="15" fillId="3" borderId="10" xfId="0" applyFont="1" applyFill="1" applyBorder="1"/>
    <xf numFmtId="0" fontId="15" fillId="3" borderId="0" xfId="0" applyFont="1" applyFill="1"/>
    <xf numFmtId="0" fontId="1" fillId="3" borderId="10" xfId="0" applyFont="1" applyFill="1" applyBorder="1" applyAlignment="1">
      <alignment horizontal="center" vertical="center" wrapText="1"/>
    </xf>
    <xf numFmtId="0" fontId="0" fillId="3" borderId="22" xfId="0" applyFill="1" applyBorder="1"/>
    <xf numFmtId="0" fontId="1" fillId="3" borderId="10" xfId="0" applyFont="1" applyFill="1" applyBorder="1" applyAlignment="1">
      <alignment horizontal="center" vertical="top" wrapText="1"/>
    </xf>
    <xf numFmtId="0" fontId="0" fillId="7" borderId="10" xfId="0" applyFill="1" applyBorder="1" applyAlignment="1">
      <alignment wrapText="1"/>
    </xf>
    <xf numFmtId="0" fontId="0" fillId="3" borderId="10" xfId="0" applyFill="1" applyBorder="1" applyAlignment="1">
      <alignment horizontal="left"/>
    </xf>
    <xf numFmtId="164" fontId="0" fillId="3" borderId="10" xfId="0" applyNumberFormat="1" applyFill="1" applyBorder="1"/>
    <xf numFmtId="0" fontId="1" fillId="3" borderId="10" xfId="0" applyFont="1" applyFill="1" applyBorder="1" applyAlignment="1">
      <alignment horizontal="left"/>
    </xf>
    <xf numFmtId="164" fontId="1" fillId="3" borderId="10" xfId="0" applyNumberFormat="1" applyFont="1" applyFill="1" applyBorder="1"/>
    <xf numFmtId="0" fontId="14" fillId="8" borderId="26" xfId="0" applyFont="1" applyFill="1" applyBorder="1" applyAlignment="1">
      <alignment horizontal="center" vertical="center" wrapText="1"/>
    </xf>
    <xf numFmtId="0" fontId="14" fillId="8" borderId="27" xfId="0" applyFont="1" applyFill="1" applyBorder="1" applyAlignment="1">
      <alignment horizontal="center" vertical="center" wrapText="1"/>
    </xf>
    <xf numFmtId="0" fontId="18" fillId="0" borderId="28" xfId="0" applyFont="1" applyBorder="1" applyAlignment="1">
      <alignment vertical="center" wrapText="1"/>
    </xf>
    <xf numFmtId="0" fontId="18" fillId="0" borderId="29" xfId="0" applyFont="1" applyBorder="1" applyAlignment="1">
      <alignment vertical="center" wrapText="1"/>
    </xf>
    <xf numFmtId="0" fontId="19" fillId="0" borderId="0" xfId="0" applyFont="1" applyAlignment="1">
      <alignment vertical="top"/>
    </xf>
    <xf numFmtId="0" fontId="0" fillId="0" borderId="0" xfId="0" applyFont="1"/>
    <xf numFmtId="0" fontId="1" fillId="0" borderId="0" xfId="0" applyFont="1"/>
    <xf numFmtId="0" fontId="0" fillId="0" borderId="0" xfId="0" applyFont="1" applyAlignment="1">
      <alignment wrapText="1"/>
    </xf>
    <xf numFmtId="0" fontId="0" fillId="0" borderId="0" xfId="0" applyFont="1" applyAlignment="1">
      <alignment vertical="top"/>
    </xf>
    <xf numFmtId="0" fontId="20" fillId="0" borderId="0" xfId="0" applyFont="1" applyAlignment="1">
      <alignment wrapText="1"/>
    </xf>
    <xf numFmtId="0" fontId="0" fillId="0" borderId="0" xfId="0" applyFont="1" applyAlignment="1">
      <alignment horizontal="left" vertical="center"/>
    </xf>
    <xf numFmtId="0" fontId="0" fillId="0" borderId="1" xfId="0" applyFont="1" applyBorder="1" applyAlignment="1">
      <alignment vertical="center" wrapText="1"/>
    </xf>
    <xf numFmtId="0" fontId="0" fillId="0" borderId="0" xfId="0" applyFont="1" applyAlignment="1">
      <alignment horizontal="left" vertical="center" wrapText="1"/>
    </xf>
    <xf numFmtId="0" fontId="0" fillId="0" borderId="0" xfId="0" applyFont="1" applyFill="1" applyBorder="1" applyAlignment="1">
      <alignment horizontal="left" vertical="center"/>
    </xf>
    <xf numFmtId="0" fontId="0" fillId="0" borderId="0" xfId="0" applyFont="1" applyAlignment="1">
      <alignment vertical="center" wrapText="1"/>
    </xf>
    <xf numFmtId="0" fontId="0" fillId="0" borderId="0" xfId="0" applyFont="1" applyAlignment="1"/>
    <xf numFmtId="0" fontId="1" fillId="9" borderId="1" xfId="0" applyFont="1" applyFill="1" applyBorder="1" applyAlignment="1">
      <alignment horizontal="center" vertical="center"/>
    </xf>
    <xf numFmtId="0" fontId="1" fillId="10" borderId="30" xfId="0" applyFont="1" applyFill="1" applyBorder="1" applyAlignment="1">
      <alignment horizontal="center" vertical="center"/>
    </xf>
    <xf numFmtId="0" fontId="1" fillId="10" borderId="31" xfId="0" applyFont="1" applyFill="1" applyBorder="1" applyAlignment="1">
      <alignment horizontal="center" vertical="center"/>
    </xf>
    <xf numFmtId="0" fontId="1" fillId="0" borderId="0" xfId="0" applyFont="1" applyAlignment="1">
      <alignment horizontal="left" vertical="center" wrapText="1"/>
    </xf>
    <xf numFmtId="0" fontId="0" fillId="0" borderId="5" xfId="0" applyFont="1" applyBorder="1" applyAlignment="1">
      <alignment horizontal="left" vertical="center" wrapText="1"/>
    </xf>
    <xf numFmtId="0" fontId="0" fillId="0" borderId="32" xfId="0" applyFont="1" applyBorder="1" applyAlignment="1">
      <alignment horizontal="left" vertical="center" wrapText="1"/>
    </xf>
    <xf numFmtId="0" fontId="0" fillId="0" borderId="33" xfId="0" applyFont="1" applyBorder="1" applyAlignment="1">
      <alignment horizontal="left" vertical="center" wrapText="1"/>
    </xf>
    <xf numFmtId="0" fontId="0" fillId="0" borderId="1" xfId="0" applyFont="1" applyBorder="1" applyAlignment="1">
      <alignment vertical="top" wrapText="1"/>
    </xf>
    <xf numFmtId="0" fontId="0"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5" xfId="0" applyFont="1" applyBorder="1" applyAlignment="1">
      <alignment horizontal="left" vertical="center" wrapText="1"/>
    </xf>
    <xf numFmtId="0" fontId="0" fillId="0" borderId="14" xfId="0" applyFont="1" applyBorder="1" applyAlignment="1">
      <alignment horizontal="left" vertical="center" wrapText="1"/>
    </xf>
    <xf numFmtId="0" fontId="0" fillId="0" borderId="1" xfId="0" applyFont="1" applyBorder="1" applyAlignment="1">
      <alignment wrapText="1"/>
    </xf>
    <xf numFmtId="0" fontId="0" fillId="0" borderId="0" xfId="0" applyFont="1" applyAlignment="1">
      <alignment vertical="top" wrapText="1"/>
    </xf>
    <xf numFmtId="0" fontId="0" fillId="0" borderId="0" xfId="0" applyFont="1" applyAlignment="1">
      <alignment vertical="center"/>
    </xf>
    <xf numFmtId="0" fontId="0" fillId="0" borderId="35" xfId="0" applyFont="1" applyBorder="1" applyAlignment="1">
      <alignment horizontal="left" vertical="center"/>
    </xf>
    <xf numFmtId="0" fontId="0" fillId="0" borderId="1" xfId="0" applyFont="1" applyBorder="1" applyAlignment="1">
      <alignment horizontal="left" vertical="center"/>
    </xf>
    <xf numFmtId="0" fontId="0" fillId="0" borderId="0" xfId="0" applyFont="1" applyBorder="1" applyAlignment="1">
      <alignment horizontal="left" vertical="center"/>
    </xf>
    <xf numFmtId="0" fontId="0" fillId="0" borderId="0" xfId="0" applyFont="1" applyBorder="1"/>
    <xf numFmtId="0" fontId="0" fillId="0" borderId="1" xfId="0" applyFont="1" applyBorder="1"/>
    <xf numFmtId="0" fontId="0" fillId="0" borderId="0" xfId="0" applyFont="1" applyBorder="1" applyAlignment="1">
      <alignment horizontal="left" vertical="center" wrapText="1"/>
    </xf>
    <xf numFmtId="0" fontId="0" fillId="0" borderId="38" xfId="0" applyFont="1" applyBorder="1" applyAlignment="1">
      <alignment horizontal="left" vertical="center"/>
    </xf>
    <xf numFmtId="0" fontId="0" fillId="0" borderId="0" xfId="0" applyFont="1" applyAlignment="1">
      <alignment horizontal="center" vertical="center"/>
    </xf>
    <xf numFmtId="0" fontId="0" fillId="0" borderId="1" xfId="0" applyFont="1" applyFill="1" applyBorder="1" applyAlignment="1">
      <alignment horizontal="left" vertical="center"/>
    </xf>
    <xf numFmtId="0" fontId="19" fillId="3" borderId="0" xfId="0" applyFont="1" applyFill="1" applyAlignment="1">
      <alignment vertical="top"/>
    </xf>
    <xf numFmtId="0" fontId="0" fillId="3" borderId="0" xfId="0" applyFont="1" applyFill="1"/>
    <xf numFmtId="0" fontId="16" fillId="3" borderId="10" xfId="0" applyFont="1" applyFill="1" applyBorder="1" applyAlignment="1">
      <alignment horizontal="center" vertical="center"/>
    </xf>
    <xf numFmtId="0" fontId="16" fillId="3" borderId="10" xfId="0" applyFont="1" applyFill="1" applyBorder="1" applyAlignment="1">
      <alignment horizontal="center" vertical="center" wrapText="1"/>
    </xf>
    <xf numFmtId="0" fontId="22" fillId="12" borderId="10" xfId="0" applyFont="1" applyFill="1" applyBorder="1" applyAlignment="1">
      <alignment horizontal="center" vertical="center"/>
    </xf>
    <xf numFmtId="0" fontId="14" fillId="6" borderId="16" xfId="0" applyFont="1" applyFill="1" applyBorder="1" applyAlignment="1">
      <alignment horizontal="center" vertical="center" wrapText="1"/>
    </xf>
    <xf numFmtId="0" fontId="14" fillId="6" borderId="19" xfId="0" applyFont="1" applyFill="1" applyBorder="1" applyAlignment="1">
      <alignment horizontal="center" vertical="center" wrapText="1"/>
    </xf>
    <xf numFmtId="0" fontId="2" fillId="6" borderId="10" xfId="0" applyFont="1" applyFill="1" applyBorder="1" applyAlignment="1">
      <alignment horizontal="left" vertical="center" wrapText="1"/>
    </xf>
    <xf numFmtId="0" fontId="11" fillId="6" borderId="10" xfId="0" applyFont="1" applyFill="1" applyBorder="1" applyAlignment="1">
      <alignment horizontal="center" vertical="center" wrapText="1"/>
    </xf>
    <xf numFmtId="0" fontId="2" fillId="6" borderId="10" xfId="0" applyFont="1" applyFill="1" applyBorder="1" applyAlignment="1">
      <alignment horizontal="center" wrapText="1"/>
    </xf>
    <xf numFmtId="0" fontId="11" fillId="6" borderId="0" xfId="0" applyFont="1" applyFill="1"/>
    <xf numFmtId="0" fontId="11" fillId="6" borderId="10" xfId="0" applyFont="1" applyFill="1" applyBorder="1"/>
    <xf numFmtId="0" fontId="4" fillId="5" borderId="8" xfId="0" applyFont="1" applyFill="1" applyBorder="1" applyAlignment="1">
      <alignment vertical="center" wrapText="1"/>
    </xf>
    <xf numFmtId="0" fontId="4" fillId="5" borderId="9" xfId="0" applyFont="1" applyFill="1" applyBorder="1" applyAlignment="1">
      <alignment vertical="center" wrapText="1"/>
    </xf>
    <xf numFmtId="0" fontId="0" fillId="3" borderId="11" xfId="0" applyFill="1" applyBorder="1" applyAlignment="1">
      <alignment horizontal="left" vertical="top"/>
    </xf>
    <xf numFmtId="0" fontId="0" fillId="3" borderId="12" xfId="0" applyFill="1" applyBorder="1" applyAlignment="1">
      <alignment horizontal="left" vertical="top"/>
    </xf>
    <xf numFmtId="0" fontId="0" fillId="3" borderId="13" xfId="0" applyFill="1" applyBorder="1" applyAlignment="1">
      <alignment horizontal="left" vertical="top"/>
    </xf>
    <xf numFmtId="0" fontId="1" fillId="3" borderId="14" xfId="0" applyFont="1" applyFill="1" applyBorder="1"/>
    <xf numFmtId="0" fontId="1" fillId="3" borderId="15" xfId="0" applyFont="1" applyFill="1" applyBorder="1"/>
    <xf numFmtId="0" fontId="0" fillId="3" borderId="14" xfId="0" applyFill="1" applyBorder="1"/>
    <xf numFmtId="0" fontId="0" fillId="3" borderId="15" xfId="0" applyFill="1" applyBorder="1"/>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3" borderId="5" xfId="0" applyFill="1" applyBorder="1" applyAlignment="1">
      <alignment horizontal="left" vertical="top" wrapText="1"/>
    </xf>
    <xf numFmtId="0" fontId="0" fillId="3" borderId="0" xfId="0" applyFill="1" applyAlignment="1">
      <alignment horizontal="left" vertical="top"/>
    </xf>
    <xf numFmtId="0" fontId="0" fillId="3" borderId="6" xfId="0" applyFill="1" applyBorder="1" applyAlignment="1">
      <alignment horizontal="left" vertical="top" wrapText="1"/>
    </xf>
    <xf numFmtId="0" fontId="12" fillId="3" borderId="11" xfId="0" applyFont="1" applyFill="1" applyBorder="1" applyAlignment="1">
      <alignment horizontal="center"/>
    </xf>
    <xf numFmtId="0" fontId="12" fillId="3" borderId="12" xfId="0" applyFont="1" applyFill="1" applyBorder="1" applyAlignment="1">
      <alignment horizontal="center"/>
    </xf>
    <xf numFmtId="0" fontId="12" fillId="3" borderId="13" xfId="0" applyFont="1" applyFill="1" applyBorder="1" applyAlignment="1">
      <alignment horizontal="center"/>
    </xf>
    <xf numFmtId="0" fontId="14" fillId="6" borderId="19" xfId="0" applyFont="1" applyFill="1" applyBorder="1" applyAlignment="1">
      <alignment horizontal="center" vertical="center" wrapText="1"/>
    </xf>
    <xf numFmtId="0" fontId="14" fillId="6" borderId="20" xfId="0" applyFont="1" applyFill="1" applyBorder="1" applyAlignment="1">
      <alignment horizontal="center" vertical="center" wrapText="1"/>
    </xf>
    <xf numFmtId="0" fontId="14" fillId="6" borderId="17" xfId="0" applyFont="1" applyFill="1" applyBorder="1" applyAlignment="1">
      <alignment horizontal="center" vertical="center" wrapText="1"/>
    </xf>
    <xf numFmtId="0" fontId="14" fillId="8" borderId="19"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4" xfId="0" applyFont="1" applyFill="1" applyBorder="1"/>
    <xf numFmtId="0" fontId="11" fillId="3" borderId="15" xfId="0" applyFont="1" applyFill="1" applyBorder="1"/>
    <xf numFmtId="0" fontId="11" fillId="3" borderId="10" xfId="0" applyFont="1" applyFill="1" applyBorder="1"/>
    <xf numFmtId="0" fontId="11" fillId="3" borderId="21" xfId="0" applyFont="1" applyFill="1" applyBorder="1"/>
    <xf numFmtId="0" fontId="11" fillId="6" borderId="14" xfId="0" applyFont="1" applyFill="1" applyBorder="1"/>
    <xf numFmtId="0" fontId="11" fillId="6" borderId="15" xfId="0" applyFont="1" applyFill="1" applyBorder="1"/>
    <xf numFmtId="0" fontId="2" fillId="6" borderId="14" xfId="0" applyFont="1" applyFill="1" applyBorder="1" applyAlignment="1">
      <alignment horizontal="left" vertical="center" wrapText="1"/>
    </xf>
    <xf numFmtId="0" fontId="2" fillId="6" borderId="15" xfId="0" applyFont="1" applyFill="1" applyBorder="1" applyAlignment="1">
      <alignment horizontal="left" vertical="center" wrapText="1"/>
    </xf>
    <xf numFmtId="0" fontId="0" fillId="3" borderId="14" xfId="0" applyFill="1" applyBorder="1" applyAlignment="1">
      <alignment horizontal="center"/>
    </xf>
    <xf numFmtId="0" fontId="0" fillId="3" borderId="18" xfId="0" applyFill="1" applyBorder="1" applyAlignment="1">
      <alignment horizontal="center"/>
    </xf>
    <xf numFmtId="0" fontId="0" fillId="3" borderId="15" xfId="0" applyFill="1" applyBorder="1" applyAlignment="1">
      <alignment horizontal="center"/>
    </xf>
    <xf numFmtId="0" fontId="0" fillId="3" borderId="23" xfId="0" applyFill="1" applyBorder="1" applyAlignment="1">
      <alignment horizontal="center" wrapText="1"/>
    </xf>
    <xf numFmtId="0" fontId="0" fillId="3" borderId="24" xfId="0" applyFill="1" applyBorder="1" applyAlignment="1">
      <alignment horizontal="center" wrapText="1"/>
    </xf>
    <xf numFmtId="0" fontId="0" fillId="7" borderId="14" xfId="0" applyFill="1" applyBorder="1" applyAlignment="1">
      <alignment horizontal="left" wrapText="1"/>
    </xf>
    <xf numFmtId="0" fontId="0" fillId="7" borderId="15" xfId="0" applyFill="1" applyBorder="1" applyAlignment="1">
      <alignment horizontal="left" wrapText="1"/>
    </xf>
    <xf numFmtId="0" fontId="0" fillId="7" borderId="14" xfId="0" applyFill="1" applyBorder="1" applyAlignment="1">
      <alignment wrapText="1"/>
    </xf>
    <xf numFmtId="0" fontId="0" fillId="7" borderId="15" xfId="0" applyFill="1" applyBorder="1" applyAlignment="1">
      <alignment wrapText="1"/>
    </xf>
    <xf numFmtId="0" fontId="17" fillId="11" borderId="0" xfId="0" applyFont="1" applyFill="1" applyAlignment="1">
      <alignment horizontal="center" vertical="center" wrapText="1"/>
    </xf>
    <xf numFmtId="0" fontId="0" fillId="0" borderId="34" xfId="0" applyFont="1" applyBorder="1" applyAlignment="1">
      <alignment horizontal="center" vertical="center"/>
    </xf>
    <xf numFmtId="0" fontId="0" fillId="0" borderId="36" xfId="0" applyFont="1" applyBorder="1" applyAlignment="1">
      <alignment horizontal="center" vertical="center"/>
    </xf>
    <xf numFmtId="0" fontId="0" fillId="0" borderId="37" xfId="0" applyFont="1" applyBorder="1" applyAlignment="1">
      <alignment horizontal="center" vertical="center"/>
    </xf>
    <xf numFmtId="0" fontId="0" fillId="3" borderId="23" xfId="0" applyFill="1" applyBorder="1" applyAlignment="1">
      <alignment horizontal="center" vertical="center"/>
    </xf>
    <xf numFmtId="0" fontId="0" fillId="3" borderId="25" xfId="0" applyFill="1" applyBorder="1" applyAlignment="1">
      <alignment horizontal="center" vertical="center"/>
    </xf>
    <xf numFmtId="0" fontId="0" fillId="3" borderId="24" xfId="0" applyFill="1" applyBorder="1" applyAlignment="1">
      <alignment horizontal="center" vertical="center"/>
    </xf>
    <xf numFmtId="0" fontId="0" fillId="3" borderId="23" xfId="0" applyFill="1" applyBorder="1" applyAlignment="1">
      <alignment horizontal="center" vertical="center" wrapText="1"/>
    </xf>
    <xf numFmtId="0" fontId="0" fillId="3" borderId="25"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14" xfId="0" applyFill="1" applyBorder="1" applyAlignment="1">
      <alignment horizontal="left"/>
    </xf>
    <xf numFmtId="0" fontId="0" fillId="3" borderId="15" xfId="0" applyFill="1" applyBorder="1" applyAlignment="1">
      <alignment horizontal="left"/>
    </xf>
    <xf numFmtId="0" fontId="0" fillId="3" borderId="10" xfId="0" applyFill="1" applyBorder="1" applyAlignment="1">
      <alignment horizontal="center"/>
    </xf>
    <xf numFmtId="0" fontId="16" fillId="3" borderId="10" xfId="0" applyFont="1" applyFill="1" applyBorder="1" applyAlignment="1">
      <alignment vertical="center"/>
    </xf>
    <xf numFmtId="0" fontId="22" fillId="12" borderId="10" xfId="0" applyFont="1" applyFill="1" applyBorder="1" applyAlignment="1">
      <alignment horizontal="center" vertical="center"/>
    </xf>
    <xf numFmtId="0" fontId="16" fillId="3" borderId="10" xfId="0" applyFont="1" applyFill="1" applyBorder="1" applyAlignment="1">
      <alignment horizontal="center" vertical="center"/>
    </xf>
  </cellXfs>
  <cellStyles count="1">
    <cellStyle name="Normal" xfId="0" builtinId="0"/>
  </cellStyles>
  <dxfs count="1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22" fmlaRange="Municipios" multiSel="5, 3, 2" noThreeD="1" sel="0" seltype="multi" val="0"/>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ist" dx="22" fmlaRange="Municipios" multiSel="5, 3" noThreeD="1" sel="0" seltype="multi" val="0"/>
</file>

<file path=xl/ctrlProps/ctrlProp9.xml><?xml version="1.0" encoding="utf-8"?>
<formControlPr xmlns="http://schemas.microsoft.com/office/spreadsheetml/2009/9/main" objectType="Radio" firstButton="1" fmlaLink="$A$82"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88"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ist" dx="22" fmlaLink="$A$95" fmlaRange="Listas!$N$4:$N$21" multiSel="14, 11" noThreeD="1" sel="0" seltype="multi" val="9"/>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2590800</xdr:colOff>
          <xdr:row>4</xdr:row>
          <xdr:rowOff>171450</xdr:rowOff>
        </xdr:from>
        <xdr:to>
          <xdr:col>3</xdr:col>
          <xdr:colOff>0</xdr:colOff>
          <xdr:row>8</xdr:row>
          <xdr:rowOff>142875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0</xdr:row>
          <xdr:rowOff>190500</xdr:rowOff>
        </xdr:from>
        <xdr:to>
          <xdr:col>7</xdr:col>
          <xdr:colOff>295275</xdr:colOff>
          <xdr:row>23</xdr:row>
          <xdr:rowOff>66675</xdr:rowOff>
        </xdr:to>
        <xdr:sp macro="" textlink="">
          <xdr:nvSpPr>
            <xdr:cNvPr id="1028" name="Group Box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Estatales Previos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22</xdr:row>
          <xdr:rowOff>0</xdr:rowOff>
        </xdr:from>
        <xdr:to>
          <xdr:col>2</xdr:col>
          <xdr:colOff>1924050</xdr:colOff>
          <xdr:row>23</xdr:row>
          <xdr:rowOff>142875</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179295</xdr:rowOff>
        </xdr:from>
        <xdr:to>
          <xdr:col>6</xdr:col>
          <xdr:colOff>1121709</xdr:colOff>
          <xdr:row>48</xdr:row>
          <xdr:rowOff>169770</xdr:rowOff>
        </xdr:to>
        <xdr:sp macro="" textlink="">
          <xdr:nvSpPr>
            <xdr:cNvPr id="1034" name="Group Box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similares y buenas prácticas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43</xdr:row>
          <xdr:rowOff>171450</xdr:rowOff>
        </xdr:from>
        <xdr:to>
          <xdr:col>1</xdr:col>
          <xdr:colOff>2390775</xdr:colOff>
          <xdr:row>45</xdr:row>
          <xdr:rowOff>104775</xdr:rowOff>
        </xdr:to>
        <xdr:sp macro="" textlink="">
          <xdr:nvSpPr>
            <xdr:cNvPr id="1035" name="CommandButton2"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1</xdr:row>
          <xdr:rowOff>47625</xdr:rowOff>
        </xdr:from>
        <xdr:to>
          <xdr:col>2</xdr:col>
          <xdr:colOff>171450</xdr:colOff>
          <xdr:row>2</xdr:row>
          <xdr:rowOff>123825</xdr:rowOff>
        </xdr:to>
        <xdr:sp macro="" textlink="">
          <xdr:nvSpPr>
            <xdr:cNvPr id="1037" name="Check Box 13" hidden="1">
              <a:extLst>
                <a:ext uri="{63B3BB69-23CF-44E3-9099-C40C66FF867C}">
                  <a14:compatExt spid="_x0000_s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25</xdr:row>
          <xdr:rowOff>161925</xdr:rowOff>
        </xdr:from>
        <xdr:to>
          <xdr:col>2</xdr:col>
          <xdr:colOff>428625</xdr:colOff>
          <xdr:row>27</xdr:row>
          <xdr:rowOff>47625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55</xdr:row>
          <xdr:rowOff>47625</xdr:rowOff>
        </xdr:from>
        <xdr:to>
          <xdr:col>7</xdr:col>
          <xdr:colOff>333375</xdr:colOff>
          <xdr:row>96</xdr:row>
          <xdr:rowOff>85725</xdr:rowOff>
        </xdr:to>
        <xdr:sp macro="" textlink="">
          <xdr:nvSpPr>
            <xdr:cNvPr id="1052" name="Group Box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Diagnóstico</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63</xdr:row>
          <xdr:rowOff>85725</xdr:rowOff>
        </xdr:from>
        <xdr:to>
          <xdr:col>6</xdr:col>
          <xdr:colOff>1162050</xdr:colOff>
          <xdr:row>64</xdr:row>
          <xdr:rowOff>142875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68</xdr:row>
          <xdr:rowOff>161925</xdr:rowOff>
        </xdr:from>
        <xdr:to>
          <xdr:col>1</xdr:col>
          <xdr:colOff>2362200</xdr:colOff>
          <xdr:row>72</xdr:row>
          <xdr:rowOff>114300</xdr:rowOff>
        </xdr:to>
        <xdr:sp macro="" textlink="">
          <xdr:nvSpPr>
            <xdr:cNvPr id="1055" name="List Box 3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80</xdr:row>
          <xdr:rowOff>76200</xdr:rowOff>
        </xdr:from>
        <xdr:to>
          <xdr:col>1</xdr:col>
          <xdr:colOff>809625</xdr:colOff>
          <xdr:row>81</xdr:row>
          <xdr:rowOff>104775</xdr:rowOff>
        </xdr:to>
        <xdr:sp macro="" textlink="">
          <xdr:nvSpPr>
            <xdr:cNvPr id="1056" name="Option Button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1104900</xdr:colOff>
          <xdr:row>80</xdr:row>
          <xdr:rowOff>66675</xdr:rowOff>
        </xdr:from>
        <xdr:to>
          <xdr:col>1</xdr:col>
          <xdr:colOff>1628775</xdr:colOff>
          <xdr:row>81</xdr:row>
          <xdr:rowOff>95250</xdr:rowOff>
        </xdr:to>
        <xdr:sp macro="" textlink="">
          <xdr:nvSpPr>
            <xdr:cNvPr id="1058" name="Option Button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80</xdr:row>
          <xdr:rowOff>9525</xdr:rowOff>
        </xdr:from>
        <xdr:to>
          <xdr:col>1</xdr:col>
          <xdr:colOff>1724025</xdr:colOff>
          <xdr:row>82</xdr:row>
          <xdr:rowOff>38100</xdr:rowOff>
        </xdr:to>
        <xdr:sp macro="" textlink="">
          <xdr:nvSpPr>
            <xdr:cNvPr id="1065" name="Group Box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86</xdr:row>
          <xdr:rowOff>47625</xdr:rowOff>
        </xdr:from>
        <xdr:to>
          <xdr:col>1</xdr:col>
          <xdr:colOff>1609725</xdr:colOff>
          <xdr:row>88</xdr:row>
          <xdr:rowOff>28575</xdr:rowOff>
        </xdr:to>
        <xdr:sp macro="" textlink="">
          <xdr:nvSpPr>
            <xdr:cNvPr id="1066" name="Group Box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86</xdr:row>
          <xdr:rowOff>161925</xdr:rowOff>
        </xdr:from>
        <xdr:to>
          <xdr:col>1</xdr:col>
          <xdr:colOff>619125</xdr:colOff>
          <xdr:row>88</xdr:row>
          <xdr:rowOff>0</xdr:rowOff>
        </xdr:to>
        <xdr:sp macro="" textlink="">
          <xdr:nvSpPr>
            <xdr:cNvPr id="1067" name="Option Button 43" hidden="1">
              <a:extLst>
                <a:ext uri="{63B3BB69-23CF-44E3-9099-C40C66FF867C}">
                  <a14:compatExt spid="_x0000_s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86</xdr:row>
          <xdr:rowOff>152400</xdr:rowOff>
        </xdr:from>
        <xdr:to>
          <xdr:col>1</xdr:col>
          <xdr:colOff>1333500</xdr:colOff>
          <xdr:row>87</xdr:row>
          <xdr:rowOff>180975</xdr:rowOff>
        </xdr:to>
        <xdr:sp macro="" textlink="">
          <xdr:nvSpPr>
            <xdr:cNvPr id="1068" name="Option Button 44" hidden="1">
              <a:extLst>
                <a:ext uri="{63B3BB69-23CF-44E3-9099-C40C66FF867C}">
                  <a14:compatExt spid="_x0000_s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91</xdr:row>
          <xdr:rowOff>95250</xdr:rowOff>
        </xdr:from>
        <xdr:to>
          <xdr:col>3</xdr:col>
          <xdr:colOff>47625</xdr:colOff>
          <xdr:row>94</xdr:row>
          <xdr:rowOff>180975</xdr:rowOff>
        </xdr:to>
        <xdr:sp macro="" textlink="">
          <xdr:nvSpPr>
            <xdr:cNvPr id="1069" name="List Box 45"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97</xdr:row>
          <xdr:rowOff>142875</xdr:rowOff>
        </xdr:from>
        <xdr:to>
          <xdr:col>7</xdr:col>
          <xdr:colOff>304800</xdr:colOff>
          <xdr:row>107</xdr:row>
          <xdr:rowOff>152400</xdr:rowOff>
        </xdr:to>
        <xdr:sp macro="" textlink="">
          <xdr:nvSpPr>
            <xdr:cNvPr id="1071" name="Group Box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Involucrados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361950</xdr:colOff>
          <xdr:row>9</xdr:row>
          <xdr:rowOff>114300</xdr:rowOff>
        </xdr:from>
        <xdr:to>
          <xdr:col>8</xdr:col>
          <xdr:colOff>276225</xdr:colOff>
          <xdr:row>10</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7</xdr:row>
          <xdr:rowOff>57150</xdr:rowOff>
        </xdr:from>
        <xdr:to>
          <xdr:col>8</xdr:col>
          <xdr:colOff>581025</xdr:colOff>
          <xdr:row>8</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consecuencia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13</xdr:row>
          <xdr:rowOff>76200</xdr:rowOff>
        </xdr:from>
        <xdr:to>
          <xdr:col>9</xdr:col>
          <xdr:colOff>209550</xdr:colOff>
          <xdr:row>14</xdr:row>
          <xdr:rowOff>123825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619125</xdr:colOff>
          <xdr:row>48</xdr:row>
          <xdr:rowOff>76200</xdr:rowOff>
        </xdr:from>
        <xdr:to>
          <xdr:col>10</xdr:col>
          <xdr:colOff>0</xdr:colOff>
          <xdr:row>49</xdr:row>
          <xdr:rowOff>104775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Componente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46</xdr:row>
          <xdr:rowOff>66675</xdr:rowOff>
        </xdr:from>
        <xdr:to>
          <xdr:col>10</xdr:col>
          <xdr:colOff>0</xdr:colOff>
          <xdr:row>47</xdr:row>
          <xdr:rowOff>66675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647700</xdr:colOff>
          <xdr:row>50</xdr:row>
          <xdr:rowOff>190500</xdr:rowOff>
        </xdr:from>
        <xdr:to>
          <xdr:col>10</xdr:col>
          <xdr:colOff>0</xdr:colOff>
          <xdr:row>52</xdr:row>
          <xdr:rowOff>28575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actividad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43</xdr:row>
          <xdr:rowOff>142875</xdr:rowOff>
        </xdr:from>
        <xdr:to>
          <xdr:col>5</xdr:col>
          <xdr:colOff>76200</xdr:colOff>
          <xdr:row>44</xdr:row>
          <xdr:rowOff>142875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762000</xdr:colOff>
          <xdr:row>52</xdr:row>
          <xdr:rowOff>19050</xdr:rowOff>
        </xdr:from>
        <xdr:to>
          <xdr:col>4</xdr:col>
          <xdr:colOff>371475</xdr:colOff>
          <xdr:row>53</xdr:row>
          <xdr:rowOff>28575</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857250</xdr:colOff>
          <xdr:row>55</xdr:row>
          <xdr:rowOff>0</xdr:rowOff>
        </xdr:from>
        <xdr:to>
          <xdr:col>4</xdr:col>
          <xdr:colOff>466725</xdr:colOff>
          <xdr:row>56</xdr:row>
          <xdr:rowOff>0</xdr:rowOff>
        </xdr:to>
        <xdr:sp macro="" textlink="">
          <xdr:nvSpPr>
            <xdr:cNvPr id="3087" name="Button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57</xdr:row>
          <xdr:rowOff>190500</xdr:rowOff>
        </xdr:from>
        <xdr:to>
          <xdr:col>4</xdr:col>
          <xdr:colOff>495300</xdr:colOff>
          <xdr:row>58</xdr:row>
          <xdr:rowOff>190500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685800</xdr:colOff>
          <xdr:row>19</xdr:row>
          <xdr:rowOff>133350</xdr:rowOff>
        </xdr:from>
        <xdr:to>
          <xdr:col>4</xdr:col>
          <xdr:colOff>295275</xdr:colOff>
          <xdr:row>20</xdr:row>
          <xdr:rowOff>133350</xdr:rowOff>
        </xdr:to>
        <xdr:sp macro="" textlink="">
          <xdr:nvSpPr>
            <xdr:cNvPr id="3096" name="Button 24" hidden="1">
              <a:extLst>
                <a:ext uri="{63B3BB69-23CF-44E3-9099-C40C66FF867C}">
                  <a14:compatExt spid="_x0000_s3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12</xdr:row>
          <xdr:rowOff>133350</xdr:rowOff>
        </xdr:from>
        <xdr:to>
          <xdr:col>4</xdr:col>
          <xdr:colOff>428625</xdr:colOff>
          <xdr:row>13</xdr:row>
          <xdr:rowOff>133350</xdr:rowOff>
        </xdr:to>
        <xdr:sp macro="" textlink="">
          <xdr:nvSpPr>
            <xdr:cNvPr id="3097" name="Button 25" hidden="1">
              <a:extLst>
                <a:ext uri="{63B3BB69-23CF-44E3-9099-C40C66FF867C}">
                  <a14:compatExt spid="_x0000_s3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15</xdr:row>
          <xdr:rowOff>114300</xdr:rowOff>
        </xdr:from>
        <xdr:to>
          <xdr:col>4</xdr:col>
          <xdr:colOff>381000</xdr:colOff>
          <xdr:row>16</xdr:row>
          <xdr:rowOff>114300</xdr:rowOff>
        </xdr:to>
        <xdr:sp macro="" textlink="">
          <xdr:nvSpPr>
            <xdr:cNvPr id="3098" name="Button 26" hidden="1">
              <a:extLst>
                <a:ext uri="{63B3BB69-23CF-44E3-9099-C40C66FF867C}">
                  <a14:compatExt spid="_x0000_s3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17</xdr:row>
          <xdr:rowOff>152400</xdr:rowOff>
        </xdr:from>
        <xdr:to>
          <xdr:col>4</xdr:col>
          <xdr:colOff>428625</xdr:colOff>
          <xdr:row>18</xdr:row>
          <xdr:rowOff>152400</xdr:rowOff>
        </xdr:to>
        <xdr:sp macro="" textlink="">
          <xdr:nvSpPr>
            <xdr:cNvPr id="3099" name="Button 27" hidden="1">
              <a:extLst>
                <a:ext uri="{63B3BB69-23CF-44E3-9099-C40C66FF867C}">
                  <a14:compatExt spid="_x0000_s3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657225</xdr:colOff>
          <xdr:row>6</xdr:row>
          <xdr:rowOff>19050</xdr:rowOff>
        </xdr:from>
        <xdr:to>
          <xdr:col>4</xdr:col>
          <xdr:colOff>266700</xdr:colOff>
          <xdr:row>7</xdr:row>
          <xdr:rowOff>28575</xdr:rowOff>
        </xdr:to>
        <xdr:sp macro="" textlink="">
          <xdr:nvSpPr>
            <xdr:cNvPr id="3100" name="Button 28" hidden="1">
              <a:extLst>
                <a:ext uri="{63B3BB69-23CF-44E3-9099-C40C66FF867C}">
                  <a14:compatExt spid="_x0000_s3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62</xdr:row>
          <xdr:rowOff>133350</xdr:rowOff>
        </xdr:from>
        <xdr:to>
          <xdr:col>14</xdr:col>
          <xdr:colOff>409575</xdr:colOff>
          <xdr:row>75</xdr:row>
          <xdr:rowOff>161925</xdr:rowOff>
        </xdr:to>
        <xdr:sp macro="" textlink="">
          <xdr:nvSpPr>
            <xdr:cNvPr id="3101" name="Group Box 29" hidden="1">
              <a:extLst>
                <a:ext uri="{63B3BB69-23CF-44E3-9099-C40C66FF867C}">
                  <a14:compatExt spid="_x0000_s310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Alineación con la Planeación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76200</xdr:colOff>
          <xdr:row>5</xdr:row>
          <xdr:rowOff>485775</xdr:rowOff>
        </xdr:from>
        <xdr:to>
          <xdr:col>14</xdr:col>
          <xdr:colOff>419100</xdr:colOff>
          <xdr:row>7</xdr:row>
          <xdr:rowOff>9525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4</xdr:row>
          <xdr:rowOff>19050</xdr:rowOff>
        </xdr:from>
        <xdr:to>
          <xdr:col>13</xdr:col>
          <xdr:colOff>476250</xdr:colOff>
          <xdr:row>17</xdr:row>
          <xdr:rowOff>76200</xdr:rowOff>
        </xdr:to>
        <xdr:sp macro="" textlink="">
          <xdr:nvSpPr>
            <xdr:cNvPr id="4100" name="Group Box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Definición y cuantificación de las poblaciones</a:t>
              </a:r>
            </a:p>
          </xdr:txBody>
        </xdr:sp>
        <xdr:clientData/>
      </xdr:twoCellAnchor>
    </mc:Choice>
    <mc:Fallback/>
  </mc:AlternateContent>
  <xdr:twoCellAnchor>
    <xdr:from>
      <xdr:col>1</xdr:col>
      <xdr:colOff>1485898</xdr:colOff>
      <xdr:row>10</xdr:row>
      <xdr:rowOff>104777</xdr:rowOff>
    </xdr:from>
    <xdr:to>
      <xdr:col>4</xdr:col>
      <xdr:colOff>723901</xdr:colOff>
      <xdr:row>26</xdr:row>
      <xdr:rowOff>76200</xdr:rowOff>
    </xdr:to>
    <xdr:cxnSp macro="">
      <xdr:nvCxnSpPr>
        <xdr:cNvPr id="3" name="Conector angular 2"/>
        <xdr:cNvCxnSpPr/>
      </xdr:nvCxnSpPr>
      <xdr:spPr>
        <a:xfrm rot="16200000" flipV="1">
          <a:off x="2195513" y="2481262"/>
          <a:ext cx="3228973" cy="3124203"/>
        </a:xfrm>
        <a:prstGeom prst="bentConnector3">
          <a:avLst>
            <a:gd name="adj1" fmla="val 50000"/>
          </a:avLst>
        </a:prstGeom>
        <a:ln w="2222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647700</xdr:colOff>
          <xdr:row>22</xdr:row>
          <xdr:rowOff>114300</xdr:rowOff>
        </xdr:from>
        <xdr:to>
          <xdr:col>1</xdr:col>
          <xdr:colOff>1485900</xdr:colOff>
          <xdr:row>24</xdr:row>
          <xdr:rowOff>133350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municipio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314325</xdr:rowOff>
        </xdr:from>
        <xdr:to>
          <xdr:col>10</xdr:col>
          <xdr:colOff>47625</xdr:colOff>
          <xdr:row>5</xdr:row>
          <xdr:rowOff>552450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otro criterio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133350</xdr:rowOff>
        </xdr:from>
        <xdr:to>
          <xdr:col>13</xdr:col>
          <xdr:colOff>133350</xdr:colOff>
          <xdr:row>29</xdr:row>
          <xdr:rowOff>66675</xdr:rowOff>
        </xdr:to>
        <xdr:sp macro="" textlink="">
          <xdr:nvSpPr>
            <xdr:cNvPr id="4104" name="Group Box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Cobertira geográfica 2020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32</xdr:row>
          <xdr:rowOff>171450</xdr:rowOff>
        </xdr:from>
        <xdr:to>
          <xdr:col>9</xdr:col>
          <xdr:colOff>800100</xdr:colOff>
          <xdr:row>41</xdr:row>
          <xdr:rowOff>114300</xdr:rowOff>
        </xdr:to>
        <xdr:sp macro="" textlink="">
          <xdr:nvSpPr>
            <xdr:cNvPr id="4105" name="Group Box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Criterios para la focalización de la población objetivo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876299</xdr:colOff>
      <xdr:row>33</xdr:row>
      <xdr:rowOff>800099</xdr:rowOff>
    </xdr:from>
    <xdr:to>
      <xdr:col>4</xdr:col>
      <xdr:colOff>1362074</xdr:colOff>
      <xdr:row>33</xdr:row>
      <xdr:rowOff>1285874</xdr:rowOff>
    </xdr:to>
    <xdr:pic>
      <xdr:nvPicPr>
        <xdr:cNvPr id="2" name="Imagen 1"/>
        <xdr:cNvPicPr>
          <a:picLocks noChangeAspect="1"/>
        </xdr:cNvPicPr>
      </xdr:nvPicPr>
      <xdr:blipFill>
        <a:blip xmlns:r="http://schemas.openxmlformats.org/officeDocument/2006/relationships" r:embed="rId1"/>
        <a:stretch>
          <a:fillRect/>
        </a:stretch>
      </xdr:blipFill>
      <xdr:spPr>
        <a:xfrm>
          <a:off x="12363449" y="8724899"/>
          <a:ext cx="485775" cy="485775"/>
        </a:xfrm>
        <a:prstGeom prst="rect">
          <a:avLst/>
        </a:prstGeom>
      </xdr:spPr>
    </xdr:pic>
    <xdr:clientData/>
  </xdr:twoCellAnchor>
  <xdr:twoCellAnchor editAs="oneCell">
    <xdr:from>
      <xdr:col>4</xdr:col>
      <xdr:colOff>95250</xdr:colOff>
      <xdr:row>33</xdr:row>
      <xdr:rowOff>752476</xdr:rowOff>
    </xdr:from>
    <xdr:to>
      <xdr:col>4</xdr:col>
      <xdr:colOff>685086</xdr:colOff>
      <xdr:row>33</xdr:row>
      <xdr:rowOff>1342312</xdr:rowOff>
    </xdr:to>
    <xdr:pic>
      <xdr:nvPicPr>
        <xdr:cNvPr id="3" name="Imagen 2"/>
        <xdr:cNvPicPr>
          <a:picLocks noChangeAspect="1"/>
        </xdr:cNvPicPr>
      </xdr:nvPicPr>
      <xdr:blipFill>
        <a:blip xmlns:r="http://schemas.openxmlformats.org/officeDocument/2006/relationships" r:embed="rId2"/>
        <a:stretch>
          <a:fillRect/>
        </a:stretch>
      </xdr:blipFill>
      <xdr:spPr>
        <a:xfrm>
          <a:off x="11582400" y="8677276"/>
          <a:ext cx="589836" cy="589836"/>
        </a:xfrm>
        <a:prstGeom prst="rect">
          <a:avLst/>
        </a:prstGeom>
      </xdr:spPr>
    </xdr:pic>
    <xdr:clientData/>
  </xdr:twoCellAnchor>
  <xdr:twoCellAnchor editAs="oneCell">
    <xdr:from>
      <xdr:col>4</xdr:col>
      <xdr:colOff>1581149</xdr:colOff>
      <xdr:row>33</xdr:row>
      <xdr:rowOff>789963</xdr:rowOff>
    </xdr:from>
    <xdr:to>
      <xdr:col>4</xdr:col>
      <xdr:colOff>2066925</xdr:colOff>
      <xdr:row>33</xdr:row>
      <xdr:rowOff>1275739</xdr:rowOff>
    </xdr:to>
    <xdr:pic>
      <xdr:nvPicPr>
        <xdr:cNvPr id="4" name="Imagen 3"/>
        <xdr:cNvPicPr>
          <a:picLocks noChangeAspect="1"/>
        </xdr:cNvPicPr>
      </xdr:nvPicPr>
      <xdr:blipFill>
        <a:blip xmlns:r="http://schemas.openxmlformats.org/officeDocument/2006/relationships" r:embed="rId3"/>
        <a:stretch>
          <a:fillRect/>
        </a:stretch>
      </xdr:blipFill>
      <xdr:spPr>
        <a:xfrm>
          <a:off x="13068299" y="8714763"/>
          <a:ext cx="485776" cy="485776"/>
        </a:xfrm>
        <a:prstGeom prst="rect">
          <a:avLst/>
        </a:prstGeom>
      </xdr:spPr>
    </xdr:pic>
    <xdr:clientData/>
  </xdr:twoCellAnchor>
  <xdr:twoCellAnchor editAs="oneCell">
    <xdr:from>
      <xdr:col>6</xdr:col>
      <xdr:colOff>495300</xdr:colOff>
      <xdr:row>33</xdr:row>
      <xdr:rowOff>1695449</xdr:rowOff>
    </xdr:from>
    <xdr:to>
      <xdr:col>6</xdr:col>
      <xdr:colOff>1000125</xdr:colOff>
      <xdr:row>33</xdr:row>
      <xdr:rowOff>2200274</xdr:rowOff>
    </xdr:to>
    <xdr:pic>
      <xdr:nvPicPr>
        <xdr:cNvPr id="5" name="Imagen 4"/>
        <xdr:cNvPicPr>
          <a:picLocks noChangeAspect="1"/>
        </xdr:cNvPicPr>
      </xdr:nvPicPr>
      <xdr:blipFill>
        <a:blip xmlns:r="http://schemas.openxmlformats.org/officeDocument/2006/relationships" r:embed="rId4"/>
        <a:stretch>
          <a:fillRect/>
        </a:stretch>
      </xdr:blipFill>
      <xdr:spPr>
        <a:xfrm>
          <a:off x="16640175" y="9620249"/>
          <a:ext cx="504825" cy="504825"/>
        </a:xfrm>
        <a:prstGeom prst="rect">
          <a:avLst/>
        </a:prstGeom>
      </xdr:spPr>
    </xdr:pic>
    <xdr:clientData/>
  </xdr:twoCellAnchor>
  <xdr:oneCellAnchor>
    <xdr:from>
      <xdr:col>4</xdr:col>
      <xdr:colOff>914399</xdr:colOff>
      <xdr:row>34</xdr:row>
      <xdr:rowOff>561974</xdr:rowOff>
    </xdr:from>
    <xdr:ext cx="485775" cy="485775"/>
    <xdr:pic>
      <xdr:nvPicPr>
        <xdr:cNvPr id="6" name="Imagen 5"/>
        <xdr:cNvPicPr>
          <a:picLocks noChangeAspect="1"/>
        </xdr:cNvPicPr>
      </xdr:nvPicPr>
      <xdr:blipFill>
        <a:blip xmlns:r="http://schemas.openxmlformats.org/officeDocument/2006/relationships" r:embed="rId1"/>
        <a:stretch>
          <a:fillRect/>
        </a:stretch>
      </xdr:blipFill>
      <xdr:spPr>
        <a:xfrm>
          <a:off x="12401549" y="10782299"/>
          <a:ext cx="485775" cy="485775"/>
        </a:xfrm>
        <a:prstGeom prst="rect">
          <a:avLst/>
        </a:prstGeom>
      </xdr:spPr>
    </xdr:pic>
    <xdr:clientData/>
  </xdr:oneCellAnchor>
  <xdr:oneCellAnchor>
    <xdr:from>
      <xdr:col>4</xdr:col>
      <xdr:colOff>133350</xdr:colOff>
      <xdr:row>34</xdr:row>
      <xdr:rowOff>514351</xdr:rowOff>
    </xdr:from>
    <xdr:ext cx="589836" cy="589836"/>
    <xdr:pic>
      <xdr:nvPicPr>
        <xdr:cNvPr id="7" name="Imagen 6"/>
        <xdr:cNvPicPr>
          <a:picLocks noChangeAspect="1"/>
        </xdr:cNvPicPr>
      </xdr:nvPicPr>
      <xdr:blipFill>
        <a:blip xmlns:r="http://schemas.openxmlformats.org/officeDocument/2006/relationships" r:embed="rId2"/>
        <a:stretch>
          <a:fillRect/>
        </a:stretch>
      </xdr:blipFill>
      <xdr:spPr>
        <a:xfrm>
          <a:off x="11620500" y="10734676"/>
          <a:ext cx="589836" cy="589836"/>
        </a:xfrm>
        <a:prstGeom prst="rect">
          <a:avLst/>
        </a:prstGeom>
      </xdr:spPr>
    </xdr:pic>
    <xdr:clientData/>
  </xdr:oneCellAnchor>
  <xdr:oneCellAnchor>
    <xdr:from>
      <xdr:col>4</xdr:col>
      <xdr:colOff>1619249</xdr:colOff>
      <xdr:row>34</xdr:row>
      <xdr:rowOff>551838</xdr:rowOff>
    </xdr:from>
    <xdr:ext cx="485776" cy="485776"/>
    <xdr:pic>
      <xdr:nvPicPr>
        <xdr:cNvPr id="8" name="Imagen 7"/>
        <xdr:cNvPicPr>
          <a:picLocks noChangeAspect="1"/>
        </xdr:cNvPicPr>
      </xdr:nvPicPr>
      <xdr:blipFill>
        <a:blip xmlns:r="http://schemas.openxmlformats.org/officeDocument/2006/relationships" r:embed="rId3"/>
        <a:stretch>
          <a:fillRect/>
        </a:stretch>
      </xdr:blipFill>
      <xdr:spPr>
        <a:xfrm>
          <a:off x="13106399" y="10772163"/>
          <a:ext cx="485776" cy="485776"/>
        </a:xfrm>
        <a:prstGeom prst="rect">
          <a:avLst/>
        </a:prstGeom>
      </xdr:spPr>
    </xdr:pic>
    <xdr:clientData/>
  </xdr:oneCellAnchor>
  <xdr:oneCellAnchor>
    <xdr:from>
      <xdr:col>6</xdr:col>
      <xdr:colOff>447675</xdr:colOff>
      <xdr:row>34</xdr:row>
      <xdr:rowOff>495300</xdr:rowOff>
    </xdr:from>
    <xdr:ext cx="742950" cy="742950"/>
    <xdr:pic>
      <xdr:nvPicPr>
        <xdr:cNvPr id="9" name="Imagen 8"/>
        <xdr:cNvPicPr>
          <a:picLocks noChangeAspect="1"/>
        </xdr:cNvPicPr>
      </xdr:nvPicPr>
      <xdr:blipFill>
        <a:blip xmlns:r="http://schemas.openxmlformats.org/officeDocument/2006/relationships" r:embed="rId4"/>
        <a:stretch>
          <a:fillRect/>
        </a:stretch>
      </xdr:blipFill>
      <xdr:spPr>
        <a:xfrm>
          <a:off x="16592550" y="10715625"/>
          <a:ext cx="742950" cy="742950"/>
        </a:xfrm>
        <a:prstGeom prst="rect">
          <a:avLst/>
        </a:prstGeom>
      </xdr:spPr>
    </xdr:pic>
    <xdr:clientData/>
  </xdr:oneCellAnchor>
  <xdr:oneCellAnchor>
    <xdr:from>
      <xdr:col>4</xdr:col>
      <xdr:colOff>914399</xdr:colOff>
      <xdr:row>35</xdr:row>
      <xdr:rowOff>466724</xdr:rowOff>
    </xdr:from>
    <xdr:ext cx="485775" cy="485775"/>
    <xdr:pic>
      <xdr:nvPicPr>
        <xdr:cNvPr id="10" name="Imagen 9"/>
        <xdr:cNvPicPr>
          <a:picLocks noChangeAspect="1"/>
        </xdr:cNvPicPr>
      </xdr:nvPicPr>
      <xdr:blipFill>
        <a:blip xmlns:r="http://schemas.openxmlformats.org/officeDocument/2006/relationships" r:embed="rId1"/>
        <a:stretch>
          <a:fillRect/>
        </a:stretch>
      </xdr:blipFill>
      <xdr:spPr>
        <a:xfrm>
          <a:off x="12401549" y="12220574"/>
          <a:ext cx="485775" cy="485775"/>
        </a:xfrm>
        <a:prstGeom prst="rect">
          <a:avLst/>
        </a:prstGeom>
      </xdr:spPr>
    </xdr:pic>
    <xdr:clientData/>
  </xdr:oneCellAnchor>
  <xdr:oneCellAnchor>
    <xdr:from>
      <xdr:col>4</xdr:col>
      <xdr:colOff>133350</xdr:colOff>
      <xdr:row>35</xdr:row>
      <xdr:rowOff>419101</xdr:rowOff>
    </xdr:from>
    <xdr:ext cx="589836" cy="589836"/>
    <xdr:pic>
      <xdr:nvPicPr>
        <xdr:cNvPr id="11" name="Imagen 10"/>
        <xdr:cNvPicPr>
          <a:picLocks noChangeAspect="1"/>
        </xdr:cNvPicPr>
      </xdr:nvPicPr>
      <xdr:blipFill>
        <a:blip xmlns:r="http://schemas.openxmlformats.org/officeDocument/2006/relationships" r:embed="rId2"/>
        <a:stretch>
          <a:fillRect/>
        </a:stretch>
      </xdr:blipFill>
      <xdr:spPr>
        <a:xfrm>
          <a:off x="11620500" y="12172951"/>
          <a:ext cx="589836" cy="589836"/>
        </a:xfrm>
        <a:prstGeom prst="rect">
          <a:avLst/>
        </a:prstGeom>
      </xdr:spPr>
    </xdr:pic>
    <xdr:clientData/>
  </xdr:oneCellAnchor>
  <xdr:oneCellAnchor>
    <xdr:from>
      <xdr:col>4</xdr:col>
      <xdr:colOff>1619249</xdr:colOff>
      <xdr:row>35</xdr:row>
      <xdr:rowOff>456588</xdr:rowOff>
    </xdr:from>
    <xdr:ext cx="485776" cy="485776"/>
    <xdr:pic>
      <xdr:nvPicPr>
        <xdr:cNvPr id="12" name="Imagen 11"/>
        <xdr:cNvPicPr>
          <a:picLocks noChangeAspect="1"/>
        </xdr:cNvPicPr>
      </xdr:nvPicPr>
      <xdr:blipFill>
        <a:blip xmlns:r="http://schemas.openxmlformats.org/officeDocument/2006/relationships" r:embed="rId3"/>
        <a:stretch>
          <a:fillRect/>
        </a:stretch>
      </xdr:blipFill>
      <xdr:spPr>
        <a:xfrm>
          <a:off x="13106399" y="12210438"/>
          <a:ext cx="485776" cy="485776"/>
        </a:xfrm>
        <a:prstGeom prst="rect">
          <a:avLst/>
        </a:prstGeom>
      </xdr:spPr>
    </xdr:pic>
    <xdr:clientData/>
  </xdr:oneCellAnchor>
  <xdr:oneCellAnchor>
    <xdr:from>
      <xdr:col>6</xdr:col>
      <xdr:colOff>447675</xdr:colOff>
      <xdr:row>35</xdr:row>
      <xdr:rowOff>361950</xdr:rowOff>
    </xdr:from>
    <xdr:ext cx="742950" cy="742950"/>
    <xdr:pic>
      <xdr:nvPicPr>
        <xdr:cNvPr id="13" name="Imagen 12"/>
        <xdr:cNvPicPr>
          <a:picLocks noChangeAspect="1"/>
        </xdr:cNvPicPr>
      </xdr:nvPicPr>
      <xdr:blipFill>
        <a:blip xmlns:r="http://schemas.openxmlformats.org/officeDocument/2006/relationships" r:embed="rId4"/>
        <a:stretch>
          <a:fillRect/>
        </a:stretch>
      </xdr:blipFill>
      <xdr:spPr>
        <a:xfrm>
          <a:off x="16592550" y="12115800"/>
          <a:ext cx="742950" cy="742950"/>
        </a:xfrm>
        <a:prstGeom prst="rect">
          <a:avLst/>
        </a:prstGeom>
      </xdr:spPr>
    </xdr:pic>
    <xdr:clientData/>
  </xdr:oneCellAnchor>
  <xdr:oneCellAnchor>
    <xdr:from>
      <xdr:col>4</xdr:col>
      <xdr:colOff>914399</xdr:colOff>
      <xdr:row>36</xdr:row>
      <xdr:rowOff>466724</xdr:rowOff>
    </xdr:from>
    <xdr:ext cx="485775" cy="485775"/>
    <xdr:pic>
      <xdr:nvPicPr>
        <xdr:cNvPr id="14" name="Imagen 13"/>
        <xdr:cNvPicPr>
          <a:picLocks noChangeAspect="1"/>
        </xdr:cNvPicPr>
      </xdr:nvPicPr>
      <xdr:blipFill>
        <a:blip xmlns:r="http://schemas.openxmlformats.org/officeDocument/2006/relationships" r:embed="rId1"/>
        <a:stretch>
          <a:fillRect/>
        </a:stretch>
      </xdr:blipFill>
      <xdr:spPr>
        <a:xfrm>
          <a:off x="12401549" y="14135099"/>
          <a:ext cx="485775" cy="485775"/>
        </a:xfrm>
        <a:prstGeom prst="rect">
          <a:avLst/>
        </a:prstGeom>
      </xdr:spPr>
    </xdr:pic>
    <xdr:clientData/>
  </xdr:oneCellAnchor>
  <xdr:oneCellAnchor>
    <xdr:from>
      <xdr:col>4</xdr:col>
      <xdr:colOff>133350</xdr:colOff>
      <xdr:row>36</xdr:row>
      <xdr:rowOff>419101</xdr:rowOff>
    </xdr:from>
    <xdr:ext cx="589836" cy="589836"/>
    <xdr:pic>
      <xdr:nvPicPr>
        <xdr:cNvPr id="15" name="Imagen 14"/>
        <xdr:cNvPicPr>
          <a:picLocks noChangeAspect="1"/>
        </xdr:cNvPicPr>
      </xdr:nvPicPr>
      <xdr:blipFill>
        <a:blip xmlns:r="http://schemas.openxmlformats.org/officeDocument/2006/relationships" r:embed="rId2"/>
        <a:stretch>
          <a:fillRect/>
        </a:stretch>
      </xdr:blipFill>
      <xdr:spPr>
        <a:xfrm>
          <a:off x="11620500" y="14087476"/>
          <a:ext cx="589836" cy="589836"/>
        </a:xfrm>
        <a:prstGeom prst="rect">
          <a:avLst/>
        </a:prstGeom>
      </xdr:spPr>
    </xdr:pic>
    <xdr:clientData/>
  </xdr:oneCellAnchor>
  <xdr:oneCellAnchor>
    <xdr:from>
      <xdr:col>4</xdr:col>
      <xdr:colOff>1619249</xdr:colOff>
      <xdr:row>36</xdr:row>
      <xdr:rowOff>456588</xdr:rowOff>
    </xdr:from>
    <xdr:ext cx="485776" cy="485776"/>
    <xdr:pic>
      <xdr:nvPicPr>
        <xdr:cNvPr id="16" name="Imagen 15"/>
        <xdr:cNvPicPr>
          <a:picLocks noChangeAspect="1"/>
        </xdr:cNvPicPr>
      </xdr:nvPicPr>
      <xdr:blipFill>
        <a:blip xmlns:r="http://schemas.openxmlformats.org/officeDocument/2006/relationships" r:embed="rId3"/>
        <a:stretch>
          <a:fillRect/>
        </a:stretch>
      </xdr:blipFill>
      <xdr:spPr>
        <a:xfrm>
          <a:off x="13106399" y="14124963"/>
          <a:ext cx="485776" cy="485776"/>
        </a:xfrm>
        <a:prstGeom prst="rect">
          <a:avLst/>
        </a:prstGeom>
      </xdr:spPr>
    </xdr:pic>
    <xdr:clientData/>
  </xdr:oneCellAnchor>
  <xdr:oneCellAnchor>
    <xdr:from>
      <xdr:col>6</xdr:col>
      <xdr:colOff>447675</xdr:colOff>
      <xdr:row>36</xdr:row>
      <xdr:rowOff>361950</xdr:rowOff>
    </xdr:from>
    <xdr:ext cx="742950" cy="742950"/>
    <xdr:pic>
      <xdr:nvPicPr>
        <xdr:cNvPr id="17" name="Imagen 16"/>
        <xdr:cNvPicPr>
          <a:picLocks noChangeAspect="1"/>
        </xdr:cNvPicPr>
      </xdr:nvPicPr>
      <xdr:blipFill>
        <a:blip xmlns:r="http://schemas.openxmlformats.org/officeDocument/2006/relationships" r:embed="rId4"/>
        <a:stretch>
          <a:fillRect/>
        </a:stretch>
      </xdr:blipFill>
      <xdr:spPr>
        <a:xfrm>
          <a:off x="16592550" y="14030325"/>
          <a:ext cx="742950" cy="742950"/>
        </a:xfrm>
        <a:prstGeom prst="rect">
          <a:avLst/>
        </a:prstGeom>
      </xdr:spPr>
    </xdr:pic>
    <xdr:clientData/>
  </xdr:oneCellAnchor>
  <xdr:twoCellAnchor>
    <xdr:from>
      <xdr:col>0</xdr:col>
      <xdr:colOff>323849</xdr:colOff>
      <xdr:row>35</xdr:row>
      <xdr:rowOff>1666875</xdr:rowOff>
    </xdr:from>
    <xdr:to>
      <xdr:col>0</xdr:col>
      <xdr:colOff>561974</xdr:colOff>
      <xdr:row>36</xdr:row>
      <xdr:rowOff>742950</xdr:rowOff>
    </xdr:to>
    <xdr:sp macro="" textlink="">
      <xdr:nvSpPr>
        <xdr:cNvPr id="18" name="Flecha abajo 17"/>
        <xdr:cNvSpPr/>
      </xdr:nvSpPr>
      <xdr:spPr>
        <a:xfrm>
          <a:off x="323849" y="13420725"/>
          <a:ext cx="238125" cy="9906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933450</xdr:colOff>
      <xdr:row>33</xdr:row>
      <xdr:rowOff>1533526</xdr:rowOff>
    </xdr:from>
    <xdr:to>
      <xdr:col>1</xdr:col>
      <xdr:colOff>1437664</xdr:colOff>
      <xdr:row>33</xdr:row>
      <xdr:rowOff>2037740</xdr:rowOff>
    </xdr:to>
    <xdr:pic>
      <xdr:nvPicPr>
        <xdr:cNvPr id="19" name="Imagen 18"/>
        <xdr:cNvPicPr>
          <a:picLocks noChangeAspect="1"/>
        </xdr:cNvPicPr>
      </xdr:nvPicPr>
      <xdr:blipFill>
        <a:blip xmlns:r="http://schemas.openxmlformats.org/officeDocument/2006/relationships" r:embed="rId5"/>
        <a:stretch>
          <a:fillRect/>
        </a:stretch>
      </xdr:blipFill>
      <xdr:spPr>
        <a:xfrm>
          <a:off x="2066925" y="9458326"/>
          <a:ext cx="504214" cy="504214"/>
        </a:xfrm>
        <a:prstGeom prst="rect">
          <a:avLst/>
        </a:prstGeom>
      </xdr:spPr>
    </xdr:pic>
    <xdr:clientData/>
  </xdr:twoCellAnchor>
  <xdr:twoCellAnchor editAs="oneCell">
    <xdr:from>
      <xdr:col>1</xdr:col>
      <xdr:colOff>981076</xdr:colOff>
      <xdr:row>34</xdr:row>
      <xdr:rowOff>1104899</xdr:rowOff>
    </xdr:from>
    <xdr:to>
      <xdr:col>1</xdr:col>
      <xdr:colOff>1332891</xdr:colOff>
      <xdr:row>34</xdr:row>
      <xdr:rowOff>1456714</xdr:rowOff>
    </xdr:to>
    <xdr:pic>
      <xdr:nvPicPr>
        <xdr:cNvPr id="20" name="Imagen 19"/>
        <xdr:cNvPicPr>
          <a:picLocks noChangeAspect="1"/>
        </xdr:cNvPicPr>
      </xdr:nvPicPr>
      <xdr:blipFill>
        <a:blip xmlns:r="http://schemas.openxmlformats.org/officeDocument/2006/relationships" r:embed="rId5"/>
        <a:stretch>
          <a:fillRect/>
        </a:stretch>
      </xdr:blipFill>
      <xdr:spPr>
        <a:xfrm>
          <a:off x="2114551" y="11325224"/>
          <a:ext cx="351815" cy="351815"/>
        </a:xfrm>
        <a:prstGeom prst="rect">
          <a:avLst/>
        </a:prstGeom>
      </xdr:spPr>
    </xdr:pic>
    <xdr:clientData/>
  </xdr:twoCellAnchor>
  <xdr:twoCellAnchor editAs="oneCell">
    <xdr:from>
      <xdr:col>1</xdr:col>
      <xdr:colOff>942976</xdr:colOff>
      <xdr:row>35</xdr:row>
      <xdr:rowOff>1323366</xdr:rowOff>
    </xdr:from>
    <xdr:to>
      <xdr:col>1</xdr:col>
      <xdr:colOff>1333500</xdr:colOff>
      <xdr:row>35</xdr:row>
      <xdr:rowOff>1713890</xdr:rowOff>
    </xdr:to>
    <xdr:pic>
      <xdr:nvPicPr>
        <xdr:cNvPr id="21" name="Imagen 20"/>
        <xdr:cNvPicPr>
          <a:picLocks noChangeAspect="1"/>
        </xdr:cNvPicPr>
      </xdr:nvPicPr>
      <xdr:blipFill>
        <a:blip xmlns:r="http://schemas.openxmlformats.org/officeDocument/2006/relationships" r:embed="rId5"/>
        <a:stretch>
          <a:fillRect/>
        </a:stretch>
      </xdr:blipFill>
      <xdr:spPr>
        <a:xfrm>
          <a:off x="2076451" y="13077216"/>
          <a:ext cx="390524" cy="390524"/>
        </a:xfrm>
        <a:prstGeom prst="rect">
          <a:avLst/>
        </a:prstGeom>
      </xdr:spPr>
    </xdr:pic>
    <xdr:clientData/>
  </xdr:twoCellAnchor>
  <xdr:twoCellAnchor editAs="oneCell">
    <xdr:from>
      <xdr:col>1</xdr:col>
      <xdr:colOff>923925</xdr:colOff>
      <xdr:row>36</xdr:row>
      <xdr:rowOff>1162049</xdr:rowOff>
    </xdr:from>
    <xdr:to>
      <xdr:col>1</xdr:col>
      <xdr:colOff>1352550</xdr:colOff>
      <xdr:row>36</xdr:row>
      <xdr:rowOff>1590674</xdr:rowOff>
    </xdr:to>
    <xdr:pic>
      <xdr:nvPicPr>
        <xdr:cNvPr id="22" name="Imagen 21"/>
        <xdr:cNvPicPr>
          <a:picLocks noChangeAspect="1"/>
        </xdr:cNvPicPr>
      </xdr:nvPicPr>
      <xdr:blipFill>
        <a:blip xmlns:r="http://schemas.openxmlformats.org/officeDocument/2006/relationships" r:embed="rId5"/>
        <a:stretch>
          <a:fillRect/>
        </a:stretch>
      </xdr:blipFill>
      <xdr:spPr>
        <a:xfrm>
          <a:off x="2057400" y="14830424"/>
          <a:ext cx="428625" cy="428625"/>
        </a:xfrm>
        <a:prstGeom prst="rect">
          <a:avLst/>
        </a:prstGeom>
      </xdr:spPr>
    </xdr:pic>
    <xdr:clientData/>
  </xdr:twoCellAnchor>
  <xdr:twoCellAnchor editAs="oneCell">
    <xdr:from>
      <xdr:col>0</xdr:col>
      <xdr:colOff>247650</xdr:colOff>
      <xdr:row>35</xdr:row>
      <xdr:rowOff>1085850</xdr:rowOff>
    </xdr:from>
    <xdr:to>
      <xdr:col>0</xdr:col>
      <xdr:colOff>713630</xdr:colOff>
      <xdr:row>35</xdr:row>
      <xdr:rowOff>1551830</xdr:rowOff>
    </xdr:to>
    <xdr:pic>
      <xdr:nvPicPr>
        <xdr:cNvPr id="23" name="Imagen 22"/>
        <xdr:cNvPicPr>
          <a:picLocks noChangeAspect="1"/>
        </xdr:cNvPicPr>
      </xdr:nvPicPr>
      <xdr:blipFill>
        <a:blip xmlns:r="http://schemas.openxmlformats.org/officeDocument/2006/relationships" r:embed="rId6"/>
        <a:stretch>
          <a:fillRect/>
        </a:stretch>
      </xdr:blipFill>
      <xdr:spPr>
        <a:xfrm>
          <a:off x="247650" y="12839700"/>
          <a:ext cx="465980" cy="46598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15</xdr:row>
          <xdr:rowOff>180975</xdr:rowOff>
        </xdr:from>
        <xdr:to>
          <xdr:col>1</xdr:col>
          <xdr:colOff>723900</xdr:colOff>
          <xdr:row>18</xdr:row>
          <xdr:rowOff>28575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Información del Programa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1095375</xdr:colOff>
          <xdr:row>16</xdr:row>
          <xdr:rowOff>0</xdr:rowOff>
        </xdr:from>
        <xdr:to>
          <xdr:col>1</xdr:col>
          <xdr:colOff>2124075</xdr:colOff>
          <xdr:row>18</xdr:row>
          <xdr:rowOff>38100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2543175</xdr:colOff>
          <xdr:row>15</xdr:row>
          <xdr:rowOff>180975</xdr:rowOff>
        </xdr:from>
        <xdr:to>
          <xdr:col>2</xdr:col>
          <xdr:colOff>504825</xdr:colOff>
          <xdr:row>18</xdr:row>
          <xdr:rowOff>28575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Propósito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981075</xdr:colOff>
          <xdr:row>15</xdr:row>
          <xdr:rowOff>180975</xdr:rowOff>
        </xdr:from>
        <xdr:to>
          <xdr:col>2</xdr:col>
          <xdr:colOff>2009775</xdr:colOff>
          <xdr:row>18</xdr:row>
          <xdr:rowOff>28575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Componentes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2476500</xdr:colOff>
          <xdr:row>15</xdr:row>
          <xdr:rowOff>171450</xdr:rowOff>
        </xdr:from>
        <xdr:to>
          <xdr:col>2</xdr:col>
          <xdr:colOff>3438525</xdr:colOff>
          <xdr:row>18</xdr:row>
          <xdr:rowOff>19050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Actividades</a:t>
              </a:r>
            </a:p>
          </xdr:txBody>
        </xdr:sp>
        <xdr:clientData fPrintsWithSheet="0"/>
      </xdr:twoCellAnchor>
    </mc:Choice>
    <mc:Fallback/>
  </mc:AlternateContent>
  <xdr:twoCellAnchor>
    <xdr:from>
      <xdr:col>0</xdr:col>
      <xdr:colOff>847725</xdr:colOff>
      <xdr:row>18</xdr:row>
      <xdr:rowOff>76200</xdr:rowOff>
    </xdr:from>
    <xdr:to>
      <xdr:col>0</xdr:col>
      <xdr:colOff>1000125</xdr:colOff>
      <xdr:row>19</xdr:row>
      <xdr:rowOff>161925</xdr:rowOff>
    </xdr:to>
    <xdr:sp macro="" textlink="">
      <xdr:nvSpPr>
        <xdr:cNvPr id="29" name="Flecha abajo 28"/>
        <xdr:cNvSpPr/>
      </xdr:nvSpPr>
      <xdr:spPr>
        <a:xfrm>
          <a:off x="847725" y="3514725"/>
          <a:ext cx="152400" cy="2762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600075</xdr:colOff>
      <xdr:row>3</xdr:row>
      <xdr:rowOff>47626</xdr:rowOff>
    </xdr:from>
    <xdr:to>
      <xdr:col>1</xdr:col>
      <xdr:colOff>2657475</xdr:colOff>
      <xdr:row>15</xdr:row>
      <xdr:rowOff>9526</xdr:rowOff>
    </xdr:to>
    <xdr:pic>
      <xdr:nvPicPr>
        <xdr:cNvPr id="30" name="Imagen 2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33550" y="628651"/>
          <a:ext cx="20574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2095500</xdr:colOff>
      <xdr:row>16</xdr:row>
      <xdr:rowOff>123826</xdr:rowOff>
    </xdr:from>
    <xdr:to>
      <xdr:col>2</xdr:col>
      <xdr:colOff>2419350</xdr:colOff>
      <xdr:row>17</xdr:row>
      <xdr:rowOff>66676</xdr:rowOff>
    </xdr:to>
    <xdr:sp macro="" textlink="">
      <xdr:nvSpPr>
        <xdr:cNvPr id="31" name="Flecha derecha 30"/>
        <xdr:cNvSpPr/>
      </xdr:nvSpPr>
      <xdr:spPr>
        <a:xfrm>
          <a:off x="6296025" y="3181351"/>
          <a:ext cx="323850" cy="1333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619125</xdr:colOff>
          <xdr:row>4</xdr:row>
          <xdr:rowOff>190500</xdr:rowOff>
        </xdr:from>
        <xdr:to>
          <xdr:col>7</xdr:col>
          <xdr:colOff>295275</xdr:colOff>
          <xdr:row>29</xdr:row>
          <xdr:rowOff>47625</xdr:rowOff>
        </xdr:to>
        <xdr:sp macro="" textlink="">
          <xdr:nvSpPr>
            <xdr:cNvPr id="5128" name="Group Box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similares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5</xdr:row>
          <xdr:rowOff>161925</xdr:rowOff>
        </xdr:from>
        <xdr:to>
          <xdr:col>2</xdr:col>
          <xdr:colOff>428625</xdr:colOff>
          <xdr:row>7</xdr:row>
          <xdr:rowOff>47625</xdr:rowOff>
        </xdr:to>
        <xdr:sp macro="" textlink="">
          <xdr:nvSpPr>
            <xdr:cNvPr id="5129" name="Check Box 9" hidden="1">
              <a:extLst>
                <a:ext uri="{63B3BB69-23CF-44E3-9099-C40C66FF867C}">
                  <a14:compatExt spid="_x0000_s5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24</xdr:row>
          <xdr:rowOff>28575</xdr:rowOff>
        </xdr:from>
        <xdr:to>
          <xdr:col>3</xdr:col>
          <xdr:colOff>228600</xdr:colOff>
          <xdr:row>25</xdr:row>
          <xdr:rowOff>171450</xdr:rowOff>
        </xdr:to>
        <xdr:sp macro="" textlink="">
          <xdr:nvSpPr>
            <xdr:cNvPr id="5130" name="CommandButton3"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771525</xdr:colOff>
      <xdr:row>44</xdr:row>
      <xdr:rowOff>123825</xdr:rowOff>
    </xdr:from>
    <xdr:ext cx="742950" cy="742950"/>
    <xdr:pic>
      <xdr:nvPicPr>
        <xdr:cNvPr id="23" name="Imagen 22"/>
        <xdr:cNvPicPr>
          <a:picLocks noChangeAspect="1"/>
        </xdr:cNvPicPr>
      </xdr:nvPicPr>
      <xdr:blipFill>
        <a:blip xmlns:r="http://schemas.openxmlformats.org/officeDocument/2006/relationships" r:embed="rId1"/>
        <a:stretch>
          <a:fillRect/>
        </a:stretch>
      </xdr:blipFill>
      <xdr:spPr>
        <a:xfrm>
          <a:off x="771525" y="704850"/>
          <a:ext cx="742950" cy="742950"/>
        </a:xfrm>
        <a:prstGeom prst="rect">
          <a:avLst/>
        </a:prstGeom>
      </xdr:spPr>
    </xdr:pic>
    <xdr:clientData/>
  </xdr:oneCellAnchor>
  <xdr:twoCellAnchor>
    <xdr:from>
      <xdr:col>0</xdr:col>
      <xdr:colOff>1523999</xdr:colOff>
      <xdr:row>46</xdr:row>
      <xdr:rowOff>142875</xdr:rowOff>
    </xdr:from>
    <xdr:to>
      <xdr:col>0</xdr:col>
      <xdr:colOff>1952624</xdr:colOff>
      <xdr:row>49</xdr:row>
      <xdr:rowOff>133350</xdr:rowOff>
    </xdr:to>
    <xdr:sp macro="" textlink="">
      <xdr:nvSpPr>
        <xdr:cNvPr id="24" name="Flecha doblada 23"/>
        <xdr:cNvSpPr/>
      </xdr:nvSpPr>
      <xdr:spPr>
        <a:xfrm rot="5400000">
          <a:off x="1457324" y="1171575"/>
          <a:ext cx="561975" cy="428625"/>
        </a:xfrm>
        <a:prstGeom prst="bentArrow">
          <a:avLst>
            <a:gd name="adj1" fmla="val 25000"/>
            <a:gd name="adj2" fmla="val 20556"/>
            <a:gd name="adj3" fmla="val 36112"/>
            <a:gd name="adj4" fmla="val 72639"/>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4.vml"/><Relationship Id="rId7" Type="http://schemas.openxmlformats.org/officeDocument/2006/relationships/ctrlProp" Target="../ctrlProps/ctrlProp4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5.vml"/><Relationship Id="rId7" Type="http://schemas.openxmlformats.org/officeDocument/2006/relationships/ctrlProp" Target="../ctrlProps/ctrlProp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4.xml"/><Relationship Id="rId5" Type="http://schemas.openxmlformats.org/officeDocument/2006/relationships/image" Target="../media/image10.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258"/>
  <sheetViews>
    <sheetView topLeftCell="B25" workbookViewId="0">
      <selection activeCell="F49" sqref="F49"/>
    </sheetView>
  </sheetViews>
  <sheetFormatPr baseColWidth="10" defaultRowHeight="15"/>
  <cols>
    <col min="7" max="7" width="21.5703125" customWidth="1"/>
  </cols>
  <sheetData>
    <row r="1" spans="1:17" ht="25.5">
      <c r="A1" s="1" t="s">
        <v>7</v>
      </c>
      <c r="B1" s="1" t="s">
        <v>8</v>
      </c>
      <c r="C1" s="1" t="s">
        <v>9</v>
      </c>
      <c r="G1" s="96" t="s">
        <v>259</v>
      </c>
    </row>
    <row r="2" spans="1:17" ht="25.5">
      <c r="A2" s="1"/>
      <c r="B2" s="1" t="s">
        <v>222</v>
      </c>
      <c r="C2" s="1"/>
      <c r="E2" t="s">
        <v>260</v>
      </c>
      <c r="G2" s="97"/>
      <c r="Q2" t="s">
        <v>610</v>
      </c>
    </row>
    <row r="3" spans="1:17">
      <c r="A3" s="2">
        <v>1</v>
      </c>
      <c r="B3" s="3" t="s">
        <v>10</v>
      </c>
      <c r="C3" s="4" t="s">
        <v>116</v>
      </c>
      <c r="E3" t="s">
        <v>226</v>
      </c>
      <c r="G3" s="14"/>
      <c r="Q3" t="s">
        <v>660</v>
      </c>
    </row>
    <row r="4" spans="1:17">
      <c r="A4" s="2">
        <v>2</v>
      </c>
      <c r="B4" s="3" t="s">
        <v>11</v>
      </c>
      <c r="C4" s="4" t="s">
        <v>117</v>
      </c>
      <c r="E4" t="s">
        <v>225</v>
      </c>
      <c r="G4" s="15" t="s">
        <v>228</v>
      </c>
      <c r="I4" t="s">
        <v>261</v>
      </c>
      <c r="K4" t="s">
        <v>271</v>
      </c>
      <c r="L4" t="s">
        <v>287</v>
      </c>
      <c r="N4" t="s">
        <v>373</v>
      </c>
      <c r="Q4" t="s">
        <v>582</v>
      </c>
    </row>
    <row r="5" spans="1:17">
      <c r="A5" s="2">
        <v>3</v>
      </c>
      <c r="B5" s="3" t="s">
        <v>12</v>
      </c>
      <c r="C5" s="4" t="s">
        <v>118</v>
      </c>
      <c r="G5" s="15" t="s">
        <v>229</v>
      </c>
      <c r="I5" t="s">
        <v>262</v>
      </c>
      <c r="K5" t="s">
        <v>272</v>
      </c>
      <c r="L5" t="s">
        <v>288</v>
      </c>
      <c r="N5" t="s">
        <v>374</v>
      </c>
      <c r="Q5" t="s">
        <v>692</v>
      </c>
    </row>
    <row r="6" spans="1:17">
      <c r="A6" s="2">
        <v>4</v>
      </c>
      <c r="B6" s="3" t="s">
        <v>13</v>
      </c>
      <c r="C6" s="4" t="s">
        <v>119</v>
      </c>
      <c r="G6" s="15" t="s">
        <v>230</v>
      </c>
      <c r="I6" t="s">
        <v>263</v>
      </c>
      <c r="K6" t="s">
        <v>273</v>
      </c>
      <c r="L6" t="s">
        <v>289</v>
      </c>
      <c r="N6" t="s">
        <v>375</v>
      </c>
      <c r="Q6" t="s">
        <v>555</v>
      </c>
    </row>
    <row r="7" spans="1:17">
      <c r="A7" s="2">
        <v>5</v>
      </c>
      <c r="B7" s="3" t="s">
        <v>14</v>
      </c>
      <c r="C7" s="4" t="s">
        <v>120</v>
      </c>
      <c r="G7" s="15" t="s">
        <v>231</v>
      </c>
      <c r="I7" t="s">
        <v>264</v>
      </c>
      <c r="K7" t="s">
        <v>274</v>
      </c>
      <c r="L7" t="s">
        <v>290</v>
      </c>
      <c r="N7" t="s">
        <v>376</v>
      </c>
      <c r="Q7" t="s">
        <v>680</v>
      </c>
    </row>
    <row r="8" spans="1:17">
      <c r="A8" s="2">
        <v>6</v>
      </c>
      <c r="B8" s="3" t="s">
        <v>15</v>
      </c>
      <c r="C8" s="4" t="s">
        <v>121</v>
      </c>
      <c r="G8" s="15" t="s">
        <v>232</v>
      </c>
      <c r="I8" t="s">
        <v>265</v>
      </c>
      <c r="K8" t="s">
        <v>275</v>
      </c>
      <c r="L8" t="s">
        <v>291</v>
      </c>
      <c r="N8" t="s">
        <v>377</v>
      </c>
      <c r="Q8" t="s">
        <v>604</v>
      </c>
    </row>
    <row r="9" spans="1:17">
      <c r="A9" s="2">
        <v>7</v>
      </c>
      <c r="B9" s="3" t="s">
        <v>16</v>
      </c>
      <c r="C9" s="4" t="s">
        <v>122</v>
      </c>
      <c r="G9" s="15" t="s">
        <v>233</v>
      </c>
      <c r="I9" t="s">
        <v>266</v>
      </c>
      <c r="K9" t="s">
        <v>276</v>
      </c>
      <c r="L9" t="s">
        <v>292</v>
      </c>
      <c r="N9" t="s">
        <v>378</v>
      </c>
      <c r="Q9" t="s">
        <v>685</v>
      </c>
    </row>
    <row r="10" spans="1:17">
      <c r="A10" s="2">
        <v>8</v>
      </c>
      <c r="B10" s="3" t="s">
        <v>17</v>
      </c>
      <c r="C10" s="4" t="s">
        <v>123</v>
      </c>
      <c r="G10" s="15" t="s">
        <v>234</v>
      </c>
      <c r="K10" t="s">
        <v>277</v>
      </c>
      <c r="L10" t="s">
        <v>293</v>
      </c>
      <c r="N10" t="s">
        <v>379</v>
      </c>
      <c r="Q10" t="s">
        <v>608</v>
      </c>
    </row>
    <row r="11" spans="1:17">
      <c r="A11" s="2">
        <v>9</v>
      </c>
      <c r="B11" s="3" t="s">
        <v>18</v>
      </c>
      <c r="C11" s="4" t="s">
        <v>124</v>
      </c>
      <c r="G11" s="15" t="s">
        <v>235</v>
      </c>
      <c r="K11" t="s">
        <v>278</v>
      </c>
      <c r="L11" t="s">
        <v>294</v>
      </c>
      <c r="N11" t="s">
        <v>380</v>
      </c>
      <c r="Q11" t="s">
        <v>682</v>
      </c>
    </row>
    <row r="12" spans="1:17" ht="25.5">
      <c r="A12" s="2">
        <v>10</v>
      </c>
      <c r="B12" s="3" t="s">
        <v>19</v>
      </c>
      <c r="C12" s="4" t="s">
        <v>125</v>
      </c>
      <c r="G12" s="15" t="s">
        <v>236</v>
      </c>
      <c r="K12" t="s">
        <v>279</v>
      </c>
      <c r="L12" t="s">
        <v>295</v>
      </c>
      <c r="N12" t="s">
        <v>381</v>
      </c>
      <c r="Q12" t="s">
        <v>649</v>
      </c>
    </row>
    <row r="13" spans="1:17">
      <c r="A13" s="2">
        <v>11</v>
      </c>
      <c r="B13" s="3" t="s">
        <v>20</v>
      </c>
      <c r="C13" s="4" t="s">
        <v>126</v>
      </c>
      <c r="G13" s="15" t="s">
        <v>237</v>
      </c>
      <c r="K13" t="s">
        <v>280</v>
      </c>
      <c r="L13" t="s">
        <v>296</v>
      </c>
      <c r="N13" t="s">
        <v>382</v>
      </c>
      <c r="Q13" t="s">
        <v>672</v>
      </c>
    </row>
    <row r="14" spans="1:17">
      <c r="A14" s="2">
        <v>12</v>
      </c>
      <c r="B14" s="3" t="s">
        <v>21</v>
      </c>
      <c r="C14" s="4" t="s">
        <v>127</v>
      </c>
      <c r="G14" s="15" t="s">
        <v>238</v>
      </c>
      <c r="K14" t="s">
        <v>281</v>
      </c>
      <c r="L14" t="s">
        <v>297</v>
      </c>
      <c r="N14" t="s">
        <v>383</v>
      </c>
      <c r="Q14" t="s">
        <v>597</v>
      </c>
    </row>
    <row r="15" spans="1:17">
      <c r="A15" s="2">
        <v>13</v>
      </c>
      <c r="B15" s="3" t="s">
        <v>22</v>
      </c>
      <c r="C15" s="4" t="s">
        <v>128</v>
      </c>
      <c r="G15" s="15" t="s">
        <v>239</v>
      </c>
      <c r="K15" t="s">
        <v>282</v>
      </c>
      <c r="L15" t="s">
        <v>298</v>
      </c>
      <c r="N15" t="s">
        <v>384</v>
      </c>
      <c r="Q15" t="s">
        <v>762</v>
      </c>
    </row>
    <row r="16" spans="1:17">
      <c r="A16" s="2">
        <v>14</v>
      </c>
      <c r="B16" s="3" t="s">
        <v>23</v>
      </c>
      <c r="C16" s="4" t="s">
        <v>129</v>
      </c>
      <c r="G16" s="15" t="s">
        <v>240</v>
      </c>
      <c r="K16" t="s">
        <v>283</v>
      </c>
      <c r="L16" t="s">
        <v>299</v>
      </c>
      <c r="N16" t="s">
        <v>385</v>
      </c>
      <c r="Q16" t="s">
        <v>640</v>
      </c>
    </row>
    <row r="17" spans="1:17">
      <c r="A17" s="2">
        <v>15</v>
      </c>
      <c r="B17" s="3" t="s">
        <v>24</v>
      </c>
      <c r="C17" s="4" t="s">
        <v>130</v>
      </c>
      <c r="G17" s="15" t="s">
        <v>241</v>
      </c>
      <c r="K17" t="s">
        <v>284</v>
      </c>
      <c r="L17" t="s">
        <v>300</v>
      </c>
      <c r="N17" t="s">
        <v>386</v>
      </c>
      <c r="Q17" t="s">
        <v>634</v>
      </c>
    </row>
    <row r="18" spans="1:17">
      <c r="A18" s="2">
        <v>16</v>
      </c>
      <c r="B18" s="3" t="s">
        <v>25</v>
      </c>
      <c r="C18" s="4" t="s">
        <v>131</v>
      </c>
      <c r="G18" s="15" t="s">
        <v>242</v>
      </c>
      <c r="K18" t="s">
        <v>285</v>
      </c>
      <c r="L18" t="s">
        <v>301</v>
      </c>
      <c r="N18" t="s">
        <v>387</v>
      </c>
      <c r="Q18" t="s">
        <v>561</v>
      </c>
    </row>
    <row r="19" spans="1:17" ht="25.5">
      <c r="A19" s="2">
        <v>17</v>
      </c>
      <c r="B19" s="3" t="s">
        <v>26</v>
      </c>
      <c r="C19" s="4" t="s">
        <v>132</v>
      </c>
      <c r="G19" s="15" t="s">
        <v>243</v>
      </c>
      <c r="K19" t="s">
        <v>286</v>
      </c>
      <c r="L19" t="s">
        <v>302</v>
      </c>
      <c r="N19" t="s">
        <v>388</v>
      </c>
      <c r="Q19" t="s">
        <v>657</v>
      </c>
    </row>
    <row r="20" spans="1:17">
      <c r="A20" s="2">
        <v>18</v>
      </c>
      <c r="B20" s="3" t="s">
        <v>27</v>
      </c>
      <c r="C20" s="4" t="s">
        <v>133</v>
      </c>
      <c r="G20" s="15" t="s">
        <v>244</v>
      </c>
      <c r="L20" t="s">
        <v>303</v>
      </c>
      <c r="N20" t="s">
        <v>389</v>
      </c>
      <c r="Q20" t="s">
        <v>751</v>
      </c>
    </row>
    <row r="21" spans="1:17">
      <c r="A21" s="2">
        <v>19</v>
      </c>
      <c r="B21" s="3" t="s">
        <v>28</v>
      </c>
      <c r="C21" s="4" t="s">
        <v>134</v>
      </c>
      <c r="G21" s="15" t="s">
        <v>245</v>
      </c>
      <c r="L21" t="s">
        <v>304</v>
      </c>
      <c r="N21" t="s">
        <v>266</v>
      </c>
      <c r="Q21" t="s">
        <v>665</v>
      </c>
    </row>
    <row r="22" spans="1:17" ht="25.5">
      <c r="A22" s="2">
        <v>20</v>
      </c>
      <c r="B22" s="3" t="s">
        <v>29</v>
      </c>
      <c r="C22" s="4" t="s">
        <v>135</v>
      </c>
      <c r="G22" s="15" t="s">
        <v>246</v>
      </c>
      <c r="L22" t="s">
        <v>305</v>
      </c>
      <c r="Q22" t="s">
        <v>787</v>
      </c>
    </row>
    <row r="23" spans="1:17">
      <c r="A23" s="2">
        <v>21</v>
      </c>
      <c r="B23" s="3" t="s">
        <v>30</v>
      </c>
      <c r="C23" s="4" t="s">
        <v>136</v>
      </c>
      <c r="G23" s="15" t="s">
        <v>247</v>
      </c>
      <c r="L23" t="s">
        <v>306</v>
      </c>
      <c r="Q23" t="s">
        <v>711</v>
      </c>
    </row>
    <row r="24" spans="1:17" ht="25.5">
      <c r="A24" s="2">
        <v>22</v>
      </c>
      <c r="B24" s="3" t="s">
        <v>31</v>
      </c>
      <c r="C24" s="4" t="s">
        <v>137</v>
      </c>
      <c r="G24" s="15" t="s">
        <v>248</v>
      </c>
      <c r="L24" t="s">
        <v>307</v>
      </c>
      <c r="Q24" t="s">
        <v>641</v>
      </c>
    </row>
    <row r="25" spans="1:17">
      <c r="A25" s="2">
        <v>23</v>
      </c>
      <c r="B25" s="3" t="s">
        <v>32</v>
      </c>
      <c r="C25" s="4" t="s">
        <v>138</v>
      </c>
      <c r="G25" s="15" t="s">
        <v>249</v>
      </c>
      <c r="L25" t="s">
        <v>308</v>
      </c>
      <c r="Q25" t="s">
        <v>556</v>
      </c>
    </row>
    <row r="26" spans="1:17">
      <c r="A26" s="2">
        <v>24</v>
      </c>
      <c r="B26" s="3" t="s">
        <v>33</v>
      </c>
      <c r="C26" s="4" t="s">
        <v>139</v>
      </c>
      <c r="G26" s="15" t="s">
        <v>69</v>
      </c>
      <c r="L26" t="s">
        <v>309</v>
      </c>
      <c r="Q26" t="s">
        <v>782</v>
      </c>
    </row>
    <row r="27" spans="1:17">
      <c r="A27" s="2">
        <v>25</v>
      </c>
      <c r="B27" s="3" t="s">
        <v>34</v>
      </c>
      <c r="C27" s="4" t="s">
        <v>140</v>
      </c>
      <c r="G27" s="15" t="s">
        <v>250</v>
      </c>
      <c r="L27" t="s">
        <v>310</v>
      </c>
      <c r="Q27" t="s">
        <v>674</v>
      </c>
    </row>
    <row r="28" spans="1:17">
      <c r="A28" s="2">
        <v>26</v>
      </c>
      <c r="B28" s="3" t="s">
        <v>35</v>
      </c>
      <c r="C28" s="4" t="s">
        <v>141</v>
      </c>
      <c r="G28" s="15" t="s">
        <v>251</v>
      </c>
      <c r="L28" t="s">
        <v>311</v>
      </c>
      <c r="Q28" t="s">
        <v>745</v>
      </c>
    </row>
    <row r="29" spans="1:17">
      <c r="A29" s="2">
        <v>27</v>
      </c>
      <c r="B29" s="3" t="s">
        <v>36</v>
      </c>
      <c r="C29" s="4" t="s">
        <v>142</v>
      </c>
      <c r="G29" s="15" t="s">
        <v>252</v>
      </c>
      <c r="L29" t="s">
        <v>312</v>
      </c>
      <c r="Q29" t="s">
        <v>748</v>
      </c>
    </row>
    <row r="30" spans="1:17" ht="25.5">
      <c r="A30" s="2">
        <v>28</v>
      </c>
      <c r="B30" s="3" t="s">
        <v>37</v>
      </c>
      <c r="C30" s="4" t="s">
        <v>143</v>
      </c>
      <c r="G30" s="15" t="s">
        <v>253</v>
      </c>
      <c r="L30" t="s">
        <v>313</v>
      </c>
      <c r="Q30" t="s">
        <v>735</v>
      </c>
    </row>
    <row r="31" spans="1:17" ht="25.5">
      <c r="A31" s="2">
        <v>29</v>
      </c>
      <c r="B31" s="3" t="s">
        <v>38</v>
      </c>
      <c r="C31" s="4" t="s">
        <v>144</v>
      </c>
      <c r="G31" s="15" t="s">
        <v>254</v>
      </c>
      <c r="L31" t="s">
        <v>314</v>
      </c>
      <c r="Q31" t="s">
        <v>700</v>
      </c>
    </row>
    <row r="32" spans="1:17">
      <c r="A32" s="2">
        <v>30</v>
      </c>
      <c r="B32" s="3" t="s">
        <v>39</v>
      </c>
      <c r="C32" s="4" t="s">
        <v>145</v>
      </c>
      <c r="G32" s="15" t="s">
        <v>255</v>
      </c>
      <c r="L32" t="s">
        <v>315</v>
      </c>
      <c r="Q32" t="s">
        <v>679</v>
      </c>
    </row>
    <row r="33" spans="1:17" ht="25.5">
      <c r="A33" s="2">
        <v>31</v>
      </c>
      <c r="B33" s="3" t="s">
        <v>40</v>
      </c>
      <c r="C33" s="4" t="s">
        <v>146</v>
      </c>
      <c r="G33" s="15" t="s">
        <v>256</v>
      </c>
      <c r="L33" t="s">
        <v>316</v>
      </c>
      <c r="Q33" t="s">
        <v>761</v>
      </c>
    </row>
    <row r="34" spans="1:17">
      <c r="A34" s="2">
        <v>32</v>
      </c>
      <c r="B34" s="3" t="s">
        <v>41</v>
      </c>
      <c r="C34" s="4" t="s">
        <v>147</v>
      </c>
      <c r="G34" s="15" t="s">
        <v>257</v>
      </c>
      <c r="L34" t="s">
        <v>317</v>
      </c>
      <c r="Q34" t="s">
        <v>790</v>
      </c>
    </row>
    <row r="35" spans="1:17">
      <c r="A35" s="2">
        <v>33</v>
      </c>
      <c r="B35" s="3" t="s">
        <v>42</v>
      </c>
      <c r="C35" s="4" t="s">
        <v>148</v>
      </c>
      <c r="G35" s="15" t="s">
        <v>258</v>
      </c>
      <c r="L35" t="s">
        <v>318</v>
      </c>
      <c r="Q35" t="s">
        <v>792</v>
      </c>
    </row>
    <row r="36" spans="1:17">
      <c r="A36" s="2">
        <v>34</v>
      </c>
      <c r="B36" s="3" t="s">
        <v>43</v>
      </c>
      <c r="C36" s="4" t="s">
        <v>149</v>
      </c>
      <c r="L36" t="s">
        <v>319</v>
      </c>
      <c r="Q36" t="s">
        <v>746</v>
      </c>
    </row>
    <row r="37" spans="1:17">
      <c r="A37" s="2">
        <v>35</v>
      </c>
      <c r="B37" s="3" t="s">
        <v>44</v>
      </c>
      <c r="C37" s="4" t="s">
        <v>150</v>
      </c>
      <c r="L37" t="s">
        <v>320</v>
      </c>
      <c r="Q37" t="s">
        <v>756</v>
      </c>
    </row>
    <row r="38" spans="1:17">
      <c r="A38" s="2">
        <v>36</v>
      </c>
      <c r="B38" s="3" t="s">
        <v>45</v>
      </c>
      <c r="C38" s="4" t="s">
        <v>151</v>
      </c>
      <c r="L38" t="s">
        <v>321</v>
      </c>
      <c r="Q38" t="s">
        <v>728</v>
      </c>
    </row>
    <row r="39" spans="1:17">
      <c r="A39" s="2">
        <v>37</v>
      </c>
      <c r="B39" s="3" t="s">
        <v>46</v>
      </c>
      <c r="C39" s="4" t="s">
        <v>152</v>
      </c>
      <c r="E39" t="s">
        <v>391</v>
      </c>
      <c r="F39" t="s">
        <v>397</v>
      </c>
      <c r="G39" t="s">
        <v>400</v>
      </c>
      <c r="H39" t="s">
        <v>461</v>
      </c>
      <c r="L39" t="s">
        <v>322</v>
      </c>
      <c r="Q39" t="s">
        <v>764</v>
      </c>
    </row>
    <row r="40" spans="1:17">
      <c r="A40" s="2">
        <v>38</v>
      </c>
      <c r="B40" s="3" t="s">
        <v>47</v>
      </c>
      <c r="C40" s="4" t="s">
        <v>153</v>
      </c>
      <c r="E40" t="s">
        <v>392</v>
      </c>
      <c r="F40" t="s">
        <v>398</v>
      </c>
      <c r="G40" t="s">
        <v>401</v>
      </c>
      <c r="H40" t="s">
        <v>462</v>
      </c>
      <c r="L40" t="s">
        <v>323</v>
      </c>
      <c r="Q40" t="s">
        <v>793</v>
      </c>
    </row>
    <row r="41" spans="1:17">
      <c r="A41" s="2">
        <v>39</v>
      </c>
      <c r="B41" s="3" t="s">
        <v>48</v>
      </c>
      <c r="C41" s="4" t="s">
        <v>154</v>
      </c>
      <c r="E41" t="s">
        <v>393</v>
      </c>
      <c r="F41" t="s">
        <v>399</v>
      </c>
      <c r="G41" t="s">
        <v>402</v>
      </c>
      <c r="H41" t="s">
        <v>464</v>
      </c>
      <c r="L41" t="s">
        <v>324</v>
      </c>
      <c r="Q41" t="s">
        <v>742</v>
      </c>
    </row>
    <row r="42" spans="1:17">
      <c r="A42" s="2">
        <v>40</v>
      </c>
      <c r="B42" s="3" t="s">
        <v>49</v>
      </c>
      <c r="C42" s="4" t="s">
        <v>155</v>
      </c>
      <c r="E42" t="s">
        <v>394</v>
      </c>
      <c r="H42" t="s">
        <v>463</v>
      </c>
      <c r="L42" t="s">
        <v>325</v>
      </c>
      <c r="Q42" t="s">
        <v>644</v>
      </c>
    </row>
    <row r="43" spans="1:17">
      <c r="A43" s="2">
        <v>41</v>
      </c>
      <c r="B43" s="3" t="s">
        <v>50</v>
      </c>
      <c r="C43" s="4" t="s">
        <v>156</v>
      </c>
      <c r="H43" t="s">
        <v>465</v>
      </c>
      <c r="L43" t="s">
        <v>326</v>
      </c>
      <c r="Q43" t="s">
        <v>717</v>
      </c>
    </row>
    <row r="44" spans="1:17">
      <c r="A44" s="2">
        <v>42</v>
      </c>
      <c r="B44" s="3" t="s">
        <v>51</v>
      </c>
      <c r="C44" s="4" t="s">
        <v>157</v>
      </c>
      <c r="H44" t="s">
        <v>474</v>
      </c>
      <c r="L44" t="s">
        <v>327</v>
      </c>
      <c r="Q44" t="s">
        <v>729</v>
      </c>
    </row>
    <row r="45" spans="1:17">
      <c r="A45" s="2">
        <v>43</v>
      </c>
      <c r="B45" s="3" t="s">
        <v>52</v>
      </c>
      <c r="C45" s="4" t="s">
        <v>158</v>
      </c>
      <c r="H45" t="s">
        <v>466</v>
      </c>
      <c r="L45" t="s">
        <v>328</v>
      </c>
      <c r="Q45" t="s">
        <v>727</v>
      </c>
    </row>
    <row r="46" spans="1:17">
      <c r="A46" s="2">
        <v>44</v>
      </c>
      <c r="B46" s="3" t="s">
        <v>53</v>
      </c>
      <c r="C46" s="4" t="s">
        <v>159</v>
      </c>
      <c r="H46" t="s">
        <v>471</v>
      </c>
      <c r="L46" t="s">
        <v>329</v>
      </c>
      <c r="Q46" t="s">
        <v>624</v>
      </c>
    </row>
    <row r="47" spans="1:17">
      <c r="A47" s="2">
        <v>45</v>
      </c>
      <c r="B47" s="3" t="s">
        <v>54</v>
      </c>
      <c r="C47" s="4" t="s">
        <v>160</v>
      </c>
      <c r="F47" t="s">
        <v>794</v>
      </c>
      <c r="H47" t="s">
        <v>472</v>
      </c>
      <c r="L47" t="s">
        <v>330</v>
      </c>
      <c r="Q47" t="s">
        <v>713</v>
      </c>
    </row>
    <row r="48" spans="1:17">
      <c r="A48" s="2">
        <v>46</v>
      </c>
      <c r="B48" s="3" t="s">
        <v>55</v>
      </c>
      <c r="C48" s="4" t="s">
        <v>161</v>
      </c>
      <c r="F48" t="s">
        <v>795</v>
      </c>
      <c r="H48" t="s">
        <v>467</v>
      </c>
      <c r="L48" t="s">
        <v>331</v>
      </c>
      <c r="Q48" t="s">
        <v>595</v>
      </c>
    </row>
    <row r="49" spans="1:17">
      <c r="A49" s="2">
        <v>47</v>
      </c>
      <c r="B49" s="3" t="s">
        <v>56</v>
      </c>
      <c r="C49" s="4" t="s">
        <v>162</v>
      </c>
      <c r="H49" t="s">
        <v>473</v>
      </c>
      <c r="L49" t="s">
        <v>332</v>
      </c>
      <c r="Q49" t="s">
        <v>676</v>
      </c>
    </row>
    <row r="50" spans="1:17">
      <c r="A50" s="2">
        <v>48</v>
      </c>
      <c r="B50" s="3" t="s">
        <v>57</v>
      </c>
      <c r="C50" s="4" t="s">
        <v>163</v>
      </c>
      <c r="H50" t="s">
        <v>476</v>
      </c>
      <c r="L50" t="s">
        <v>333</v>
      </c>
      <c r="Q50" t="s">
        <v>720</v>
      </c>
    </row>
    <row r="51" spans="1:17">
      <c r="A51" s="2">
        <v>49</v>
      </c>
      <c r="B51" s="3" t="s">
        <v>58</v>
      </c>
      <c r="C51" s="4" t="s">
        <v>164</v>
      </c>
      <c r="H51" t="s">
        <v>468</v>
      </c>
      <c r="L51" t="s">
        <v>334</v>
      </c>
      <c r="Q51" t="s">
        <v>730</v>
      </c>
    </row>
    <row r="52" spans="1:17">
      <c r="A52" s="2">
        <v>50</v>
      </c>
      <c r="B52" s="3" t="s">
        <v>59</v>
      </c>
      <c r="C52" s="4" t="s">
        <v>165</v>
      </c>
      <c r="H52" t="s">
        <v>469</v>
      </c>
      <c r="L52" t="s">
        <v>335</v>
      </c>
      <c r="Q52" t="s">
        <v>772</v>
      </c>
    </row>
    <row r="53" spans="1:17">
      <c r="A53" s="2">
        <v>51</v>
      </c>
      <c r="B53" s="3" t="s">
        <v>60</v>
      </c>
      <c r="C53" s="4" t="s">
        <v>166</v>
      </c>
      <c r="H53" t="s">
        <v>470</v>
      </c>
      <c r="L53" t="s">
        <v>336</v>
      </c>
      <c r="Q53" t="s">
        <v>709</v>
      </c>
    </row>
    <row r="54" spans="1:17">
      <c r="A54" s="2">
        <v>52</v>
      </c>
      <c r="B54" s="3" t="s">
        <v>61</v>
      </c>
      <c r="C54" s="4" t="s">
        <v>167</v>
      </c>
      <c r="H54" t="s">
        <v>475</v>
      </c>
      <c r="L54" t="s">
        <v>337</v>
      </c>
      <c r="Q54" t="s">
        <v>760</v>
      </c>
    </row>
    <row r="55" spans="1:17">
      <c r="A55" s="2">
        <v>53</v>
      </c>
      <c r="B55" s="3" t="s">
        <v>62</v>
      </c>
      <c r="C55" s="4" t="s">
        <v>168</v>
      </c>
      <c r="H55" t="s">
        <v>477</v>
      </c>
      <c r="L55" t="s">
        <v>338</v>
      </c>
      <c r="Q55" t="s">
        <v>694</v>
      </c>
    </row>
    <row r="56" spans="1:17">
      <c r="A56" s="2">
        <v>54</v>
      </c>
      <c r="B56" s="3" t="s">
        <v>63</v>
      </c>
      <c r="C56" s="4" t="s">
        <v>169</v>
      </c>
      <c r="H56" t="s">
        <v>478</v>
      </c>
      <c r="L56" t="s">
        <v>339</v>
      </c>
      <c r="Q56" t="s">
        <v>718</v>
      </c>
    </row>
    <row r="57" spans="1:17">
      <c r="A57" s="2">
        <v>55</v>
      </c>
      <c r="B57" s="3" t="s">
        <v>64</v>
      </c>
      <c r="C57" s="4" t="s">
        <v>170</v>
      </c>
      <c r="H57" t="s">
        <v>266</v>
      </c>
      <c r="L57" t="s">
        <v>340</v>
      </c>
      <c r="Q57" t="s">
        <v>579</v>
      </c>
    </row>
    <row r="58" spans="1:17">
      <c r="A58" s="2">
        <v>56</v>
      </c>
      <c r="B58" s="3" t="s">
        <v>65</v>
      </c>
      <c r="C58" s="4" t="s">
        <v>171</v>
      </c>
      <c r="L58" t="s">
        <v>341</v>
      </c>
      <c r="Q58" t="s">
        <v>691</v>
      </c>
    </row>
    <row r="59" spans="1:17">
      <c r="A59" s="2">
        <v>57</v>
      </c>
      <c r="B59" s="3" t="s">
        <v>66</v>
      </c>
      <c r="C59" s="4" t="s">
        <v>172</v>
      </c>
      <c r="L59" t="s">
        <v>342</v>
      </c>
      <c r="Q59" t="s">
        <v>626</v>
      </c>
    </row>
    <row r="60" spans="1:17">
      <c r="A60" s="2">
        <v>58</v>
      </c>
      <c r="B60" s="3" t="s">
        <v>67</v>
      </c>
      <c r="C60" s="4" t="s">
        <v>173</v>
      </c>
      <c r="L60" t="s">
        <v>343</v>
      </c>
      <c r="Q60" t="s">
        <v>632</v>
      </c>
    </row>
    <row r="61" spans="1:17">
      <c r="A61" s="2">
        <v>59</v>
      </c>
      <c r="B61" s="3" t="s">
        <v>68</v>
      </c>
      <c r="C61" s="4" t="s">
        <v>174</v>
      </c>
      <c r="L61" t="s">
        <v>344</v>
      </c>
      <c r="Q61" t="s">
        <v>623</v>
      </c>
    </row>
    <row r="62" spans="1:17" ht="25.5">
      <c r="A62" s="2">
        <v>60</v>
      </c>
      <c r="B62" s="3" t="s">
        <v>69</v>
      </c>
      <c r="C62" s="4" t="s">
        <v>175</v>
      </c>
      <c r="L62" t="s">
        <v>345</v>
      </c>
      <c r="Q62" t="s">
        <v>646</v>
      </c>
    </row>
    <row r="63" spans="1:17" ht="25.5">
      <c r="A63" s="2">
        <v>61</v>
      </c>
      <c r="B63" s="3" t="s">
        <v>70</v>
      </c>
      <c r="C63" s="4" t="s">
        <v>176</v>
      </c>
      <c r="L63" t="s">
        <v>346</v>
      </c>
      <c r="Q63" t="s">
        <v>652</v>
      </c>
    </row>
    <row r="64" spans="1:17">
      <c r="A64" s="2">
        <v>62</v>
      </c>
      <c r="B64" s="3" t="s">
        <v>71</v>
      </c>
      <c r="C64" s="4" t="s">
        <v>177</v>
      </c>
      <c r="L64" t="s">
        <v>347</v>
      </c>
      <c r="Q64" t="s">
        <v>774</v>
      </c>
    </row>
    <row r="65" spans="1:17">
      <c r="A65" s="2">
        <v>63</v>
      </c>
      <c r="B65" s="3" t="s">
        <v>72</v>
      </c>
      <c r="C65" s="4" t="s">
        <v>178</v>
      </c>
      <c r="L65" t="s">
        <v>348</v>
      </c>
      <c r="Q65" t="s">
        <v>542</v>
      </c>
    </row>
    <row r="66" spans="1:17">
      <c r="A66" s="2">
        <v>64</v>
      </c>
      <c r="B66" s="3" t="s">
        <v>73</v>
      </c>
      <c r="C66" s="4" t="s">
        <v>179</v>
      </c>
      <c r="L66" t="s">
        <v>349</v>
      </c>
      <c r="Q66" t="s">
        <v>653</v>
      </c>
    </row>
    <row r="67" spans="1:17">
      <c r="A67" s="2">
        <v>65</v>
      </c>
      <c r="B67" s="3" t="s">
        <v>74</v>
      </c>
      <c r="C67" s="4" t="s">
        <v>180</v>
      </c>
      <c r="L67" t="s">
        <v>350</v>
      </c>
      <c r="Q67" t="s">
        <v>560</v>
      </c>
    </row>
    <row r="68" spans="1:17" ht="25.5">
      <c r="A68" s="2">
        <v>66</v>
      </c>
      <c r="B68" s="3" t="s">
        <v>75</v>
      </c>
      <c r="C68" s="4" t="s">
        <v>181</v>
      </c>
      <c r="L68" t="s">
        <v>351</v>
      </c>
      <c r="Q68" t="s">
        <v>584</v>
      </c>
    </row>
    <row r="69" spans="1:17">
      <c r="A69" s="2">
        <v>67</v>
      </c>
      <c r="B69" s="3" t="s">
        <v>76</v>
      </c>
      <c r="C69" s="4" t="s">
        <v>182</v>
      </c>
      <c r="L69" t="s">
        <v>352</v>
      </c>
      <c r="Q69" t="s">
        <v>550</v>
      </c>
    </row>
    <row r="70" spans="1:17">
      <c r="A70" s="2">
        <v>68</v>
      </c>
      <c r="B70" s="3" t="s">
        <v>77</v>
      </c>
      <c r="C70" s="4" t="s">
        <v>183</v>
      </c>
      <c r="L70" t="s">
        <v>353</v>
      </c>
      <c r="Q70" t="s">
        <v>553</v>
      </c>
    </row>
    <row r="71" spans="1:17">
      <c r="A71" s="2">
        <v>69</v>
      </c>
      <c r="B71" s="3" t="s">
        <v>78</v>
      </c>
      <c r="C71" s="4" t="s">
        <v>184</v>
      </c>
      <c r="L71" t="s">
        <v>354</v>
      </c>
      <c r="Q71" t="s">
        <v>690</v>
      </c>
    </row>
    <row r="72" spans="1:17">
      <c r="A72" s="2">
        <v>70</v>
      </c>
      <c r="B72" s="3" t="s">
        <v>79</v>
      </c>
      <c r="C72" s="4" t="s">
        <v>185</v>
      </c>
      <c r="L72" t="s">
        <v>355</v>
      </c>
      <c r="Q72" t="s">
        <v>784</v>
      </c>
    </row>
    <row r="73" spans="1:17">
      <c r="A73" s="2">
        <v>71</v>
      </c>
      <c r="B73" s="3" t="s">
        <v>80</v>
      </c>
      <c r="C73" s="4" t="s">
        <v>186</v>
      </c>
      <c r="L73" t="s">
        <v>356</v>
      </c>
      <c r="Q73" t="s">
        <v>785</v>
      </c>
    </row>
    <row r="74" spans="1:17">
      <c r="A74" s="2">
        <v>72</v>
      </c>
      <c r="B74" s="3" t="s">
        <v>81</v>
      </c>
      <c r="C74" s="4" t="s">
        <v>187</v>
      </c>
      <c r="L74" t="s">
        <v>357</v>
      </c>
      <c r="Q74" t="s">
        <v>719</v>
      </c>
    </row>
    <row r="75" spans="1:17">
      <c r="A75" s="2">
        <v>73</v>
      </c>
      <c r="B75" s="3" t="s">
        <v>82</v>
      </c>
      <c r="C75" s="4" t="s">
        <v>188</v>
      </c>
      <c r="L75" t="s">
        <v>358</v>
      </c>
      <c r="Q75" t="s">
        <v>587</v>
      </c>
    </row>
    <row r="76" spans="1:17">
      <c r="A76" s="2">
        <v>74</v>
      </c>
      <c r="B76" s="3" t="s">
        <v>83</v>
      </c>
      <c r="C76" s="4" t="s">
        <v>189</v>
      </c>
      <c r="L76" t="s">
        <v>359</v>
      </c>
      <c r="Q76" t="s">
        <v>705</v>
      </c>
    </row>
    <row r="77" spans="1:17">
      <c r="A77" s="2">
        <v>75</v>
      </c>
      <c r="B77" s="3" t="s">
        <v>84</v>
      </c>
      <c r="C77" s="4" t="s">
        <v>190</v>
      </c>
      <c r="L77" t="s">
        <v>360</v>
      </c>
      <c r="Q77" t="s">
        <v>733</v>
      </c>
    </row>
    <row r="78" spans="1:17">
      <c r="A78" s="2">
        <v>76</v>
      </c>
      <c r="B78" s="3" t="s">
        <v>85</v>
      </c>
      <c r="C78" s="4" t="s">
        <v>191</v>
      </c>
      <c r="Q78" t="s">
        <v>571</v>
      </c>
    </row>
    <row r="79" spans="1:17" ht="25.5">
      <c r="A79" s="2">
        <v>77</v>
      </c>
      <c r="B79" s="3" t="s">
        <v>86</v>
      </c>
      <c r="C79" s="4" t="s">
        <v>192</v>
      </c>
      <c r="Q79" t="s">
        <v>725</v>
      </c>
    </row>
    <row r="80" spans="1:17">
      <c r="A80" s="2">
        <v>78</v>
      </c>
      <c r="B80" s="3" t="s">
        <v>87</v>
      </c>
      <c r="C80" s="4" t="s">
        <v>193</v>
      </c>
      <c r="Q80" t="s">
        <v>738</v>
      </c>
    </row>
    <row r="81" spans="1:17">
      <c r="A81" s="2">
        <v>79</v>
      </c>
      <c r="B81" s="3" t="s">
        <v>88</v>
      </c>
      <c r="C81" s="4" t="s">
        <v>194</v>
      </c>
      <c r="Q81" t="s">
        <v>554</v>
      </c>
    </row>
    <row r="82" spans="1:17">
      <c r="A82" s="2">
        <v>80</v>
      </c>
      <c r="B82" s="3" t="s">
        <v>89</v>
      </c>
      <c r="C82" s="4" t="s">
        <v>195</v>
      </c>
      <c r="Q82" t="s">
        <v>666</v>
      </c>
    </row>
    <row r="83" spans="1:17">
      <c r="A83" s="2">
        <v>81</v>
      </c>
      <c r="B83" s="3" t="s">
        <v>90</v>
      </c>
      <c r="C83" s="4" t="s">
        <v>196</v>
      </c>
      <c r="Q83" t="s">
        <v>684</v>
      </c>
    </row>
    <row r="84" spans="1:17" ht="25.5">
      <c r="A84" s="2">
        <v>82</v>
      </c>
      <c r="B84" s="3" t="s">
        <v>91</v>
      </c>
      <c r="C84" s="4" t="s">
        <v>197</v>
      </c>
      <c r="Q84" t="s">
        <v>583</v>
      </c>
    </row>
    <row r="85" spans="1:17" ht="25.5">
      <c r="A85" s="2">
        <v>83</v>
      </c>
      <c r="B85" s="3" t="s">
        <v>92</v>
      </c>
      <c r="C85" s="4" t="s">
        <v>198</v>
      </c>
      <c r="Q85" t="s">
        <v>732</v>
      </c>
    </row>
    <row r="86" spans="1:17">
      <c r="A86" s="2">
        <v>84</v>
      </c>
      <c r="B86" s="3" t="s">
        <v>93</v>
      </c>
      <c r="C86" s="4" t="s">
        <v>199</v>
      </c>
      <c r="Q86" t="s">
        <v>628</v>
      </c>
    </row>
    <row r="87" spans="1:17">
      <c r="A87" s="2">
        <v>85</v>
      </c>
      <c r="B87" s="3" t="s">
        <v>94</v>
      </c>
      <c r="C87" s="4" t="s">
        <v>200</v>
      </c>
      <c r="Q87" t="s">
        <v>734</v>
      </c>
    </row>
    <row r="88" spans="1:17">
      <c r="A88" s="2">
        <v>86</v>
      </c>
      <c r="B88" s="3" t="s">
        <v>95</v>
      </c>
      <c r="C88" s="4" t="s">
        <v>201</v>
      </c>
      <c r="Q88" t="s">
        <v>712</v>
      </c>
    </row>
    <row r="89" spans="1:17">
      <c r="A89" s="2">
        <v>87</v>
      </c>
      <c r="B89" s="3" t="s">
        <v>96</v>
      </c>
      <c r="C89" s="4" t="s">
        <v>202</v>
      </c>
      <c r="Q89" t="s">
        <v>609</v>
      </c>
    </row>
    <row r="90" spans="1:17">
      <c r="A90" s="2">
        <v>88</v>
      </c>
      <c r="B90" s="3" t="s">
        <v>97</v>
      </c>
      <c r="C90" s="4" t="s">
        <v>203</v>
      </c>
      <c r="Q90" t="s">
        <v>568</v>
      </c>
    </row>
    <row r="91" spans="1:17">
      <c r="A91" s="2">
        <v>89</v>
      </c>
      <c r="B91" s="3" t="s">
        <v>98</v>
      </c>
      <c r="C91" s="4" t="s">
        <v>204</v>
      </c>
      <c r="Q91" t="s">
        <v>689</v>
      </c>
    </row>
    <row r="92" spans="1:17">
      <c r="A92" s="2">
        <v>90</v>
      </c>
      <c r="B92" s="3" t="s">
        <v>99</v>
      </c>
      <c r="C92" s="4" t="s">
        <v>205</v>
      </c>
      <c r="Q92" t="s">
        <v>636</v>
      </c>
    </row>
    <row r="93" spans="1:17">
      <c r="A93" s="2">
        <v>91</v>
      </c>
      <c r="B93" s="3" t="s">
        <v>100</v>
      </c>
      <c r="C93" s="4" t="s">
        <v>206</v>
      </c>
      <c r="Q93" t="s">
        <v>681</v>
      </c>
    </row>
    <row r="94" spans="1:17" ht="25.5">
      <c r="A94" s="2">
        <v>92</v>
      </c>
      <c r="B94" s="3" t="s">
        <v>101</v>
      </c>
      <c r="C94" s="4" t="s">
        <v>207</v>
      </c>
      <c r="Q94" t="s">
        <v>557</v>
      </c>
    </row>
    <row r="95" spans="1:17">
      <c r="A95" s="2">
        <v>93</v>
      </c>
      <c r="B95" s="3" t="s">
        <v>102</v>
      </c>
      <c r="C95" s="4" t="s">
        <v>208</v>
      </c>
      <c r="Q95" t="s">
        <v>707</v>
      </c>
    </row>
    <row r="96" spans="1:17">
      <c r="A96" s="2">
        <v>94</v>
      </c>
      <c r="B96" s="3" t="s">
        <v>103</v>
      </c>
      <c r="C96" s="4" t="s">
        <v>209</v>
      </c>
      <c r="Q96" t="s">
        <v>739</v>
      </c>
    </row>
    <row r="97" spans="1:17">
      <c r="A97" s="2">
        <v>95</v>
      </c>
      <c r="B97" s="3" t="s">
        <v>104</v>
      </c>
      <c r="C97" s="4" t="s">
        <v>210</v>
      </c>
      <c r="Q97" t="s">
        <v>722</v>
      </c>
    </row>
    <row r="98" spans="1:17">
      <c r="A98" s="2">
        <v>96</v>
      </c>
      <c r="B98" s="3" t="s">
        <v>105</v>
      </c>
      <c r="C98" s="4" t="s">
        <v>211</v>
      </c>
      <c r="Q98" t="s">
        <v>780</v>
      </c>
    </row>
    <row r="99" spans="1:17">
      <c r="A99" s="2">
        <v>97</v>
      </c>
      <c r="B99" s="3" t="s">
        <v>106</v>
      </c>
      <c r="C99" s="4" t="s">
        <v>212</v>
      </c>
      <c r="Q99" t="s">
        <v>783</v>
      </c>
    </row>
    <row r="100" spans="1:17">
      <c r="A100" s="2">
        <v>98</v>
      </c>
      <c r="B100" s="3" t="s">
        <v>107</v>
      </c>
      <c r="C100" s="4" t="s">
        <v>213</v>
      </c>
      <c r="Q100" t="s">
        <v>650</v>
      </c>
    </row>
    <row r="101" spans="1:17">
      <c r="A101" s="2">
        <v>99</v>
      </c>
      <c r="B101" s="3" t="s">
        <v>108</v>
      </c>
      <c r="C101" s="4" t="s">
        <v>214</v>
      </c>
      <c r="Q101" t="s">
        <v>618</v>
      </c>
    </row>
    <row r="102" spans="1:17">
      <c r="A102" s="2">
        <v>100</v>
      </c>
      <c r="B102" s="3" t="s">
        <v>109</v>
      </c>
      <c r="C102" s="4" t="s">
        <v>215</v>
      </c>
      <c r="Q102" t="s">
        <v>661</v>
      </c>
    </row>
    <row r="103" spans="1:17">
      <c r="A103" s="2">
        <v>101</v>
      </c>
      <c r="B103" s="3" t="s">
        <v>110</v>
      </c>
      <c r="C103" s="4" t="s">
        <v>216</v>
      </c>
      <c r="Q103" t="s">
        <v>598</v>
      </c>
    </row>
    <row r="104" spans="1:17">
      <c r="A104" s="2">
        <v>102</v>
      </c>
      <c r="B104" s="3" t="s">
        <v>111</v>
      </c>
      <c r="C104" s="4" t="s">
        <v>217</v>
      </c>
      <c r="Q104" t="s">
        <v>639</v>
      </c>
    </row>
    <row r="105" spans="1:17">
      <c r="A105" s="2">
        <v>103</v>
      </c>
      <c r="B105" s="3" t="s">
        <v>112</v>
      </c>
      <c r="C105" s="4" t="s">
        <v>218</v>
      </c>
      <c r="Q105" t="s">
        <v>715</v>
      </c>
    </row>
    <row r="106" spans="1:17">
      <c r="A106" s="2">
        <v>104</v>
      </c>
      <c r="B106" s="3" t="s">
        <v>113</v>
      </c>
      <c r="C106" s="4" t="s">
        <v>219</v>
      </c>
      <c r="Q106" t="s">
        <v>703</v>
      </c>
    </row>
    <row r="107" spans="1:17">
      <c r="A107" s="2">
        <v>105</v>
      </c>
      <c r="B107" s="3" t="s">
        <v>114</v>
      </c>
      <c r="C107" s="4" t="s">
        <v>220</v>
      </c>
      <c r="Q107" t="s">
        <v>562</v>
      </c>
    </row>
    <row r="108" spans="1:17">
      <c r="A108" s="2">
        <v>106</v>
      </c>
      <c r="B108" s="3" t="s">
        <v>115</v>
      </c>
      <c r="C108" s="4" t="s">
        <v>221</v>
      </c>
      <c r="Q108" t="s">
        <v>567</v>
      </c>
    </row>
    <row r="109" spans="1:17">
      <c r="Q109" t="s">
        <v>570</v>
      </c>
    </row>
    <row r="110" spans="1:17">
      <c r="Q110" t="s">
        <v>643</v>
      </c>
    </row>
    <row r="111" spans="1:17">
      <c r="Q111" t="s">
        <v>627</v>
      </c>
    </row>
    <row r="112" spans="1:17">
      <c r="Q112" t="s">
        <v>704</v>
      </c>
    </row>
    <row r="113" spans="17:17">
      <c r="Q113" t="s">
        <v>647</v>
      </c>
    </row>
    <row r="114" spans="17:17">
      <c r="Q114" t="s">
        <v>619</v>
      </c>
    </row>
    <row r="115" spans="17:17">
      <c r="Q115" t="s">
        <v>615</v>
      </c>
    </row>
    <row r="116" spans="17:17">
      <c r="Q116" t="s">
        <v>613</v>
      </c>
    </row>
    <row r="117" spans="17:17">
      <c r="Q117" t="s">
        <v>621</v>
      </c>
    </row>
    <row r="118" spans="17:17">
      <c r="Q118" t="s">
        <v>606</v>
      </c>
    </row>
    <row r="119" spans="17:17">
      <c r="Q119" t="s">
        <v>654</v>
      </c>
    </row>
    <row r="120" spans="17:17">
      <c r="Q120" t="s">
        <v>655</v>
      </c>
    </row>
    <row r="121" spans="17:17">
      <c r="Q121" t="s">
        <v>721</v>
      </c>
    </row>
    <row r="122" spans="17:17">
      <c r="Q122" t="s">
        <v>696</v>
      </c>
    </row>
    <row r="123" spans="17:17">
      <c r="Q123" t="s">
        <v>603</v>
      </c>
    </row>
    <row r="124" spans="17:17">
      <c r="Q124" t="s">
        <v>635</v>
      </c>
    </row>
    <row r="125" spans="17:17">
      <c r="Q125" t="s">
        <v>547</v>
      </c>
    </row>
    <row r="126" spans="17:17">
      <c r="Q126" t="s">
        <v>541</v>
      </c>
    </row>
    <row r="127" spans="17:17">
      <c r="Q127" t="s">
        <v>750</v>
      </c>
    </row>
    <row r="128" spans="17:17">
      <c r="Q128" t="s">
        <v>736</v>
      </c>
    </row>
    <row r="129" spans="17:17">
      <c r="Q129" t="s">
        <v>771</v>
      </c>
    </row>
    <row r="130" spans="17:17">
      <c r="Q130" t="s">
        <v>629</v>
      </c>
    </row>
    <row r="131" spans="17:17">
      <c r="Q131" t="s">
        <v>737</v>
      </c>
    </row>
    <row r="132" spans="17:17">
      <c r="Q132" t="s">
        <v>708</v>
      </c>
    </row>
    <row r="133" spans="17:17">
      <c r="Q133" t="s">
        <v>752</v>
      </c>
    </row>
    <row r="134" spans="17:17">
      <c r="Q134" t="s">
        <v>723</v>
      </c>
    </row>
    <row r="135" spans="17:17">
      <c r="Q135" t="s">
        <v>612</v>
      </c>
    </row>
    <row r="136" spans="17:17">
      <c r="Q136" t="s">
        <v>659</v>
      </c>
    </row>
    <row r="137" spans="17:17">
      <c r="Q137" t="s">
        <v>714</v>
      </c>
    </row>
    <row r="138" spans="17:17">
      <c r="Q138" t="s">
        <v>669</v>
      </c>
    </row>
    <row r="139" spans="17:17">
      <c r="Q139" t="s">
        <v>545</v>
      </c>
    </row>
    <row r="140" spans="17:17">
      <c r="Q140" t="s">
        <v>543</v>
      </c>
    </row>
    <row r="141" spans="17:17">
      <c r="Q141" t="s">
        <v>638</v>
      </c>
    </row>
    <row r="142" spans="17:17">
      <c r="Q142" t="s">
        <v>710</v>
      </c>
    </row>
    <row r="143" spans="17:17">
      <c r="Q143" t="s">
        <v>699</v>
      </c>
    </row>
    <row r="144" spans="17:17">
      <c r="Q144" t="s">
        <v>677</v>
      </c>
    </row>
    <row r="145" spans="17:17">
      <c r="Q145" t="s">
        <v>625</v>
      </c>
    </row>
    <row r="146" spans="17:17">
      <c r="Q146" t="s">
        <v>687</v>
      </c>
    </row>
    <row r="147" spans="17:17">
      <c r="Q147" t="s">
        <v>662</v>
      </c>
    </row>
    <row r="148" spans="17:17">
      <c r="Q148" t="s">
        <v>599</v>
      </c>
    </row>
    <row r="149" spans="17:17">
      <c r="Q149" t="s">
        <v>667</v>
      </c>
    </row>
    <row r="150" spans="17:17">
      <c r="Q150" t="s">
        <v>637</v>
      </c>
    </row>
    <row r="151" spans="17:17">
      <c r="Q151" t="s">
        <v>757</v>
      </c>
    </row>
    <row r="152" spans="17:17">
      <c r="Q152" t="s">
        <v>702</v>
      </c>
    </row>
    <row r="153" spans="17:17">
      <c r="Q153" t="s">
        <v>656</v>
      </c>
    </row>
    <row r="154" spans="17:17">
      <c r="Q154" t="s">
        <v>673</v>
      </c>
    </row>
    <row r="155" spans="17:17">
      <c r="Q155" t="s">
        <v>724</v>
      </c>
    </row>
    <row r="156" spans="17:17">
      <c r="Q156" t="s">
        <v>658</v>
      </c>
    </row>
    <row r="157" spans="17:17">
      <c r="Q157" t="s">
        <v>586</v>
      </c>
    </row>
    <row r="158" spans="17:17">
      <c r="Q158" t="s">
        <v>546</v>
      </c>
    </row>
    <row r="159" spans="17:17">
      <c r="Q159" t="s">
        <v>744</v>
      </c>
    </row>
    <row r="160" spans="17:17">
      <c r="Q160" t="s">
        <v>573</v>
      </c>
    </row>
    <row r="161" spans="17:17">
      <c r="Q161" t="s">
        <v>574</v>
      </c>
    </row>
    <row r="162" spans="17:17">
      <c r="Q162" t="s">
        <v>776</v>
      </c>
    </row>
    <row r="163" spans="17:17">
      <c r="Q163" t="s">
        <v>786</v>
      </c>
    </row>
    <row r="164" spans="17:17">
      <c r="Q164" t="s">
        <v>601</v>
      </c>
    </row>
    <row r="165" spans="17:17">
      <c r="Q165" t="s">
        <v>572</v>
      </c>
    </row>
    <row r="166" spans="17:17">
      <c r="Q166" t="s">
        <v>778</v>
      </c>
    </row>
    <row r="167" spans="17:17">
      <c r="Q167" t="s">
        <v>617</v>
      </c>
    </row>
    <row r="168" spans="17:17">
      <c r="Q168" t="s">
        <v>765</v>
      </c>
    </row>
    <row r="169" spans="17:17">
      <c r="Q169" t="s">
        <v>788</v>
      </c>
    </row>
    <row r="170" spans="17:17">
      <c r="Q170" t="s">
        <v>740</v>
      </c>
    </row>
    <row r="171" spans="17:17">
      <c r="Q171" t="s">
        <v>683</v>
      </c>
    </row>
    <row r="172" spans="17:17">
      <c r="Q172" t="s">
        <v>544</v>
      </c>
    </row>
    <row r="173" spans="17:17">
      <c r="Q173" t="s">
        <v>558</v>
      </c>
    </row>
    <row r="174" spans="17:17">
      <c r="Q174" t="s">
        <v>537</v>
      </c>
    </row>
    <row r="175" spans="17:17">
      <c r="Q175" t="s">
        <v>538</v>
      </c>
    </row>
    <row r="176" spans="17:17">
      <c r="Q176" t="s">
        <v>671</v>
      </c>
    </row>
    <row r="177" spans="17:17">
      <c r="Q177" t="s">
        <v>663</v>
      </c>
    </row>
    <row r="178" spans="17:17">
      <c r="Q178" t="s">
        <v>559</v>
      </c>
    </row>
    <row r="179" spans="17:17">
      <c r="Q179" t="s">
        <v>580</v>
      </c>
    </row>
    <row r="180" spans="17:17">
      <c r="Q180" t="s">
        <v>767</v>
      </c>
    </row>
    <row r="181" spans="17:17">
      <c r="Q181" t="s">
        <v>566</v>
      </c>
    </row>
    <row r="182" spans="17:17">
      <c r="Q182" t="s">
        <v>664</v>
      </c>
    </row>
    <row r="183" spans="17:17">
      <c r="Q183" t="s">
        <v>645</v>
      </c>
    </row>
    <row r="184" spans="17:17">
      <c r="Q184" t="s">
        <v>758</v>
      </c>
    </row>
    <row r="185" spans="17:17">
      <c r="Q185" t="s">
        <v>591</v>
      </c>
    </row>
    <row r="186" spans="17:17">
      <c r="Q186" t="s">
        <v>563</v>
      </c>
    </row>
    <row r="187" spans="17:17">
      <c r="Q187" t="s">
        <v>706</v>
      </c>
    </row>
    <row r="188" spans="17:17">
      <c r="Q188" t="s">
        <v>688</v>
      </c>
    </row>
    <row r="189" spans="17:17">
      <c r="Q189" t="s">
        <v>540</v>
      </c>
    </row>
    <row r="190" spans="17:17">
      <c r="Q190" t="s">
        <v>678</v>
      </c>
    </row>
    <row r="191" spans="17:17">
      <c r="Q191" t="s">
        <v>675</v>
      </c>
    </row>
    <row r="192" spans="17:17">
      <c r="Q192" t="s">
        <v>642</v>
      </c>
    </row>
    <row r="193" spans="17:17">
      <c r="Q193" t="s">
        <v>754</v>
      </c>
    </row>
    <row r="194" spans="17:17">
      <c r="Q194" t="s">
        <v>648</v>
      </c>
    </row>
    <row r="195" spans="17:17">
      <c r="Q195" t="s">
        <v>781</v>
      </c>
    </row>
    <row r="196" spans="17:17">
      <c r="Q196" t="s">
        <v>777</v>
      </c>
    </row>
    <row r="197" spans="17:17">
      <c r="Q197" t="s">
        <v>602</v>
      </c>
    </row>
    <row r="198" spans="17:17">
      <c r="Q198" t="s">
        <v>670</v>
      </c>
    </row>
    <row r="199" spans="17:17">
      <c r="Q199" t="s">
        <v>686</v>
      </c>
    </row>
    <row r="200" spans="17:17">
      <c r="Q200" t="s">
        <v>755</v>
      </c>
    </row>
    <row r="201" spans="17:17">
      <c r="Q201" t="s">
        <v>693</v>
      </c>
    </row>
    <row r="202" spans="17:17">
      <c r="Q202" t="s">
        <v>753</v>
      </c>
    </row>
    <row r="203" spans="17:17">
      <c r="Q203" t="s">
        <v>716</v>
      </c>
    </row>
    <row r="204" spans="17:17">
      <c r="Q204" t="s">
        <v>759</v>
      </c>
    </row>
    <row r="205" spans="17:17">
      <c r="Q205" t="s">
        <v>631</v>
      </c>
    </row>
    <row r="206" spans="17:17">
      <c r="Q206" t="s">
        <v>731</v>
      </c>
    </row>
    <row r="207" spans="17:17">
      <c r="Q207" t="s">
        <v>791</v>
      </c>
    </row>
    <row r="208" spans="17:17">
      <c r="Q208" t="s">
        <v>633</v>
      </c>
    </row>
    <row r="209" spans="17:17">
      <c r="Q209" t="s">
        <v>592</v>
      </c>
    </row>
    <row r="210" spans="17:17">
      <c r="Q210" t="s">
        <v>588</v>
      </c>
    </row>
    <row r="211" spans="17:17">
      <c r="Q211" t="s">
        <v>575</v>
      </c>
    </row>
    <row r="212" spans="17:17">
      <c r="Q212" t="s">
        <v>747</v>
      </c>
    </row>
    <row r="213" spans="17:17">
      <c r="Q213" t="s">
        <v>611</v>
      </c>
    </row>
    <row r="214" spans="17:17">
      <c r="Q214" t="s">
        <v>773</v>
      </c>
    </row>
    <row r="215" spans="17:17">
      <c r="Q215" t="s">
        <v>697</v>
      </c>
    </row>
    <row r="216" spans="17:17">
      <c r="Q216" t="s">
        <v>741</v>
      </c>
    </row>
    <row r="217" spans="17:17">
      <c r="Q217" t="s">
        <v>749</v>
      </c>
    </row>
    <row r="218" spans="17:17">
      <c r="Q218" t="s">
        <v>581</v>
      </c>
    </row>
    <row r="219" spans="17:17">
      <c r="Q219" t="s">
        <v>593</v>
      </c>
    </row>
    <row r="220" spans="17:17">
      <c r="Q220" t="s">
        <v>726</v>
      </c>
    </row>
    <row r="221" spans="17:17">
      <c r="Q221" t="s">
        <v>775</v>
      </c>
    </row>
    <row r="222" spans="17:17">
      <c r="Q222" t="s">
        <v>596</v>
      </c>
    </row>
    <row r="223" spans="17:17">
      <c r="Q223" t="s">
        <v>766</v>
      </c>
    </row>
    <row r="224" spans="17:17">
      <c r="Q224" t="s">
        <v>551</v>
      </c>
    </row>
    <row r="225" spans="17:17">
      <c r="Q225" t="s">
        <v>616</v>
      </c>
    </row>
    <row r="226" spans="17:17">
      <c r="Q226" t="s">
        <v>622</v>
      </c>
    </row>
    <row r="227" spans="17:17">
      <c r="Q227" t="s">
        <v>549</v>
      </c>
    </row>
    <row r="228" spans="17:17">
      <c r="Q228" t="s">
        <v>768</v>
      </c>
    </row>
    <row r="229" spans="17:17">
      <c r="Q229" t="s">
        <v>770</v>
      </c>
    </row>
    <row r="230" spans="17:17">
      <c r="Q230" t="s">
        <v>701</v>
      </c>
    </row>
    <row r="231" spans="17:17">
      <c r="Q231" t="s">
        <v>539</v>
      </c>
    </row>
    <row r="232" spans="17:17">
      <c r="Q232" t="s">
        <v>576</v>
      </c>
    </row>
    <row r="233" spans="17:17">
      <c r="Q233" t="s">
        <v>577</v>
      </c>
    </row>
    <row r="234" spans="17:17">
      <c r="Q234" t="s">
        <v>569</v>
      </c>
    </row>
    <row r="235" spans="17:17">
      <c r="Q235" t="s">
        <v>695</v>
      </c>
    </row>
    <row r="236" spans="17:17">
      <c r="Q236" t="s">
        <v>564</v>
      </c>
    </row>
    <row r="237" spans="17:17">
      <c r="Q237" t="s">
        <v>698</v>
      </c>
    </row>
    <row r="238" spans="17:17">
      <c r="Q238" t="s">
        <v>578</v>
      </c>
    </row>
    <row r="239" spans="17:17">
      <c r="Q239" t="s">
        <v>585</v>
      </c>
    </row>
    <row r="240" spans="17:17">
      <c r="Q240" t="s">
        <v>651</v>
      </c>
    </row>
    <row r="241" spans="17:17">
      <c r="Q241" t="s">
        <v>552</v>
      </c>
    </row>
    <row r="242" spans="17:17">
      <c r="Q242" t="s">
        <v>779</v>
      </c>
    </row>
    <row r="243" spans="17:17">
      <c r="Q243" t="s">
        <v>789</v>
      </c>
    </row>
    <row r="244" spans="17:17">
      <c r="Q244" t="s">
        <v>590</v>
      </c>
    </row>
    <row r="245" spans="17:17">
      <c r="Q245" t="s">
        <v>630</v>
      </c>
    </row>
    <row r="246" spans="17:17">
      <c r="Q246" t="s">
        <v>565</v>
      </c>
    </row>
    <row r="247" spans="17:17">
      <c r="Q247" t="s">
        <v>594</v>
      </c>
    </row>
    <row r="248" spans="17:17">
      <c r="Q248" t="s">
        <v>605</v>
      </c>
    </row>
    <row r="249" spans="17:17">
      <c r="Q249" t="s">
        <v>620</v>
      </c>
    </row>
    <row r="250" spans="17:17">
      <c r="Q250" t="s">
        <v>607</v>
      </c>
    </row>
    <row r="251" spans="17:17">
      <c r="Q251" t="s">
        <v>763</v>
      </c>
    </row>
    <row r="252" spans="17:17">
      <c r="Q252" t="s">
        <v>614</v>
      </c>
    </row>
    <row r="253" spans="17:17">
      <c r="Q253" t="s">
        <v>589</v>
      </c>
    </row>
    <row r="254" spans="17:17">
      <c r="Q254" t="s">
        <v>548</v>
      </c>
    </row>
    <row r="255" spans="17:17">
      <c r="Q255" t="s">
        <v>743</v>
      </c>
    </row>
    <row r="256" spans="17:17">
      <c r="Q256" t="s">
        <v>769</v>
      </c>
    </row>
    <row r="257" spans="17:17">
      <c r="Q257" t="s">
        <v>668</v>
      </c>
    </row>
    <row r="258" spans="17:17">
      <c r="Q258" t="s">
        <v>600</v>
      </c>
    </row>
  </sheetData>
  <sortState ref="Q2:Q258">
    <sortCondition ref="Q2:Q258"/>
  </sortState>
  <mergeCells count="1">
    <mergeCell ref="G1:G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G106"/>
  <sheetViews>
    <sheetView tabSelected="1" topLeftCell="A52" zoomScale="85" zoomScaleNormal="85" workbookViewId="0">
      <selection activeCell="B59" sqref="B59"/>
    </sheetView>
  </sheetViews>
  <sheetFormatPr baseColWidth="10" defaultRowHeight="1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1" spans="2:7">
      <c r="B1" s="6"/>
      <c r="C1" s="6"/>
    </row>
    <row r="2" spans="2:7">
      <c r="B2" s="6"/>
      <c r="C2" s="6"/>
    </row>
    <row r="3" spans="2:7" ht="15.75" thickBot="1">
      <c r="B3" s="6"/>
      <c r="C3" s="6"/>
    </row>
    <row r="4" spans="2:7" ht="30.75" thickBot="1">
      <c r="B4" s="5" t="s">
        <v>0</v>
      </c>
      <c r="C4" s="7" t="s">
        <v>692</v>
      </c>
      <c r="E4" s="5" t="s">
        <v>2</v>
      </c>
      <c r="F4" s="7"/>
      <c r="G4" s="10"/>
    </row>
    <row r="5" spans="2:7" ht="15.75" thickBot="1"/>
    <row r="6" spans="2:7" ht="15.75" thickBot="1">
      <c r="B6" s="5" t="s">
        <v>1</v>
      </c>
      <c r="C6" s="8"/>
      <c r="E6" s="5" t="s">
        <v>3</v>
      </c>
      <c r="F6" s="105"/>
      <c r="G6" s="11"/>
    </row>
    <row r="7" spans="2:7">
      <c r="F7" s="106"/>
      <c r="G7" s="11"/>
    </row>
    <row r="8" spans="2:7">
      <c r="F8" s="106"/>
      <c r="G8" s="11"/>
    </row>
    <row r="9" spans="2:7" ht="15.75" thickBot="1">
      <c r="F9" s="107"/>
      <c r="G9" s="11"/>
    </row>
    <row r="10" spans="2:7" ht="15.75" thickBot="1"/>
    <row r="11" spans="2:7" ht="15.75" thickBot="1">
      <c r="B11" s="5" t="s">
        <v>4</v>
      </c>
      <c r="C11" s="7"/>
    </row>
    <row r="12" spans="2:7" ht="15.75" thickBot="1"/>
    <row r="13" spans="2:7" ht="15.75" thickBot="1">
      <c r="B13" s="109" t="s">
        <v>227</v>
      </c>
      <c r="C13" s="9">
        <v>1</v>
      </c>
      <c r="E13" s="5" t="s">
        <v>6</v>
      </c>
      <c r="F13" s="105"/>
      <c r="G13" s="11"/>
    </row>
    <row r="14" spans="2:7" ht="15.75" thickBot="1">
      <c r="B14" s="109"/>
      <c r="C14" s="9">
        <v>2</v>
      </c>
      <c r="F14" s="106"/>
      <c r="G14" s="11"/>
    </row>
    <row r="15" spans="2:7" ht="15.75" thickBot="1">
      <c r="B15" s="109"/>
      <c r="C15" s="9">
        <v>3</v>
      </c>
      <c r="F15" s="106"/>
      <c r="G15" s="11"/>
    </row>
    <row r="16" spans="2:7" ht="15.75" thickBot="1">
      <c r="B16" s="109"/>
      <c r="C16" s="9">
        <v>4</v>
      </c>
      <c r="F16" s="107"/>
      <c r="G16" s="11"/>
    </row>
    <row r="17" spans="2:7" ht="15.75" thickBot="1"/>
    <row r="18" spans="2:7" ht="15.75" thickBot="1">
      <c r="E18" s="5" t="s">
        <v>223</v>
      </c>
      <c r="F18" s="7"/>
      <c r="G18" s="10"/>
    </row>
    <row r="19" spans="2:7" ht="15.75" thickBot="1">
      <c r="F19" s="10"/>
      <c r="G19" s="10"/>
    </row>
    <row r="20" spans="2:7" ht="30.75" thickBot="1">
      <c r="E20" s="12" t="s">
        <v>224</v>
      </c>
      <c r="F20" s="7"/>
      <c r="G20" s="10"/>
    </row>
    <row r="25" spans="2:7">
      <c r="B25" s="6"/>
      <c r="C25" s="6"/>
    </row>
    <row r="26" spans="2:7">
      <c r="B26" s="6"/>
      <c r="C26" s="6"/>
    </row>
    <row r="27" spans="2:7">
      <c r="B27" s="6"/>
      <c r="C27" s="6"/>
    </row>
    <row r="28" spans="2:7">
      <c r="B28" s="6"/>
      <c r="C28" s="6"/>
    </row>
    <row r="29" spans="2:7" ht="15.75" thickBot="1">
      <c r="B29" s="6"/>
      <c r="C29" s="6"/>
    </row>
    <row r="30" spans="2:7" ht="15.75" thickBot="1">
      <c r="B30" s="5" t="s">
        <v>0</v>
      </c>
      <c r="C30" s="7"/>
      <c r="E30" s="5" t="s">
        <v>2</v>
      </c>
      <c r="F30" s="7"/>
      <c r="G30" s="10"/>
    </row>
    <row r="31" spans="2:7" ht="15.75" thickBot="1"/>
    <row r="32" spans="2:7" ht="15.75" thickBot="1">
      <c r="B32" s="16" t="s">
        <v>1</v>
      </c>
      <c r="C32" s="8"/>
      <c r="E32" s="5" t="s">
        <v>3</v>
      </c>
      <c r="F32" s="105"/>
      <c r="G32" s="11"/>
    </row>
    <row r="33" spans="2:7">
      <c r="C33" s="13"/>
      <c r="F33" s="106"/>
      <c r="G33" s="11"/>
    </row>
    <row r="34" spans="2:7">
      <c r="B34" s="5" t="str">
        <f>IF(OR(C32="Otro estado",C32="Otro País"),"Especificar","")</f>
        <v/>
      </c>
      <c r="F34" s="106"/>
      <c r="G34" s="11"/>
    </row>
    <row r="35" spans="2:7">
      <c r="F35" s="106"/>
      <c r="G35" s="11"/>
    </row>
    <row r="36" spans="2:7" ht="15.75" thickBot="1">
      <c r="B36" s="5" t="str">
        <f>IF(C34="Otro","Especificar","")</f>
        <v/>
      </c>
      <c r="F36" s="107"/>
      <c r="G36" s="11"/>
    </row>
    <row r="37" spans="2:7" ht="15.75" thickBot="1"/>
    <row r="38" spans="2:7" ht="15.75" thickBot="1">
      <c r="B38" s="5" t="s">
        <v>4</v>
      </c>
      <c r="C38" s="7"/>
    </row>
    <row r="39" spans="2:7" ht="15.75" thickBot="1"/>
    <row r="40" spans="2:7" ht="15.75" thickBot="1">
      <c r="B40" s="5" t="s">
        <v>5</v>
      </c>
      <c r="C40" s="9">
        <v>1</v>
      </c>
      <c r="E40" s="5" t="s">
        <v>6</v>
      </c>
      <c r="F40" s="105"/>
      <c r="G40" s="11"/>
    </row>
    <row r="41" spans="2:7" ht="15.75" thickBot="1">
      <c r="C41" s="9">
        <v>2</v>
      </c>
      <c r="F41" s="106"/>
      <c r="G41" s="11"/>
    </row>
    <row r="42" spans="2:7" ht="15.75" thickBot="1">
      <c r="C42" s="9">
        <v>3</v>
      </c>
      <c r="F42" s="106"/>
      <c r="G42" s="11"/>
    </row>
    <row r="43" spans="2:7" ht="15.75" thickBot="1">
      <c r="C43" s="9">
        <v>4</v>
      </c>
      <c r="F43" s="107"/>
      <c r="G43" s="11"/>
    </row>
    <row r="44" spans="2:7" ht="15.75" thickBot="1"/>
    <row r="45" spans="2:7" ht="15.75" thickBot="1">
      <c r="E45" s="5" t="s">
        <v>223</v>
      </c>
      <c r="F45" s="7"/>
      <c r="G45" s="10"/>
    </row>
    <row r="46" spans="2:7" ht="15.75" thickBot="1">
      <c r="F46" s="10"/>
      <c r="G46" s="10"/>
    </row>
    <row r="47" spans="2:7" ht="30.75" thickBot="1">
      <c r="E47" s="12" t="s">
        <v>224</v>
      </c>
      <c r="F47" s="7"/>
      <c r="G47" s="10"/>
    </row>
    <row r="59" spans="2:7">
      <c r="B59" s="5" t="s">
        <v>362</v>
      </c>
    </row>
    <row r="60" spans="2:7" ht="15.75" thickBot="1"/>
    <row r="61" spans="2:7" ht="102.75" customHeight="1" thickBot="1">
      <c r="B61" s="98"/>
      <c r="C61" s="99"/>
      <c r="D61" s="99"/>
      <c r="E61" s="99"/>
      <c r="F61" s="99"/>
      <c r="G61" s="100"/>
    </row>
    <row r="63" spans="2:7">
      <c r="B63" s="5" t="s">
        <v>363</v>
      </c>
    </row>
    <row r="64" spans="2:7">
      <c r="B64" s="20" t="s">
        <v>269</v>
      </c>
      <c r="C64" s="20" t="s">
        <v>365</v>
      </c>
      <c r="D64" s="101" t="s">
        <v>364</v>
      </c>
      <c r="E64" s="102"/>
      <c r="F64" s="20" t="s">
        <v>366</v>
      </c>
    </row>
    <row r="65" spans="2:7">
      <c r="B65" s="19"/>
      <c r="C65" s="19"/>
      <c r="D65" s="103"/>
      <c r="E65" s="104"/>
      <c r="F65" s="19"/>
    </row>
    <row r="68" spans="2:7">
      <c r="B68" s="5" t="s">
        <v>367</v>
      </c>
      <c r="D68" s="5" t="s">
        <v>371</v>
      </c>
    </row>
    <row r="69" spans="2:7" ht="15.75" thickBot="1"/>
    <row r="70" spans="2:7" ht="15.75" thickBot="1">
      <c r="D70" s="98"/>
      <c r="E70" s="100"/>
    </row>
    <row r="71" spans="2:7" ht="15.75" thickBot="1">
      <c r="D71" s="98"/>
      <c r="E71" s="100"/>
    </row>
    <row r="72" spans="2:7" ht="15.75" thickBot="1">
      <c r="D72" s="98"/>
      <c r="E72" s="100"/>
    </row>
    <row r="73" spans="2:7" ht="15.75" thickBot="1">
      <c r="D73" s="98"/>
      <c r="E73" s="100"/>
    </row>
    <row r="74" spans="2:7">
      <c r="D74" s="21"/>
      <c r="E74" s="21"/>
    </row>
    <row r="76" spans="2:7">
      <c r="B76" s="5" t="s">
        <v>368</v>
      </c>
    </row>
    <row r="77" spans="2:7" ht="15.75" thickBot="1"/>
    <row r="78" spans="2:7" ht="57.75" customHeight="1" thickBot="1">
      <c r="B78" s="98"/>
      <c r="C78" s="99"/>
      <c r="D78" s="99"/>
      <c r="E78" s="99"/>
      <c r="F78" s="99"/>
      <c r="G78" s="100"/>
    </row>
    <row r="80" spans="2:7">
      <c r="B80" s="16" t="s">
        <v>369</v>
      </c>
    </row>
    <row r="82" spans="1:7">
      <c r="A82" s="22">
        <v>2</v>
      </c>
      <c r="C82" s="5" t="str">
        <f>IF(A82=1,"Descríbelo","")</f>
        <v/>
      </c>
      <c r="D82" s="108"/>
      <c r="E82" s="108"/>
      <c r="F82" s="108"/>
      <c r="G82" s="108"/>
    </row>
    <row r="85" spans="1:7">
      <c r="B85" s="16" t="s">
        <v>370</v>
      </c>
    </row>
    <row r="87" spans="1:7">
      <c r="A87" s="22"/>
      <c r="C87" s="5" t="str">
        <f>IF(A88=1,"Descríbelo","")</f>
        <v>Descríbelo</v>
      </c>
      <c r="D87" s="108"/>
      <c r="E87" s="108"/>
      <c r="F87" s="108"/>
      <c r="G87" s="108"/>
    </row>
    <row r="88" spans="1:7">
      <c r="A88" s="22">
        <v>1</v>
      </c>
    </row>
    <row r="91" spans="1:7">
      <c r="B91" s="5" t="s">
        <v>372</v>
      </c>
    </row>
    <row r="95" spans="1:7">
      <c r="A95" s="23">
        <v>0</v>
      </c>
      <c r="E95" s="5" t="s">
        <v>390</v>
      </c>
      <c r="F95" s="19"/>
    </row>
    <row r="100" spans="2:6">
      <c r="B100" s="5" t="s">
        <v>404</v>
      </c>
    </row>
    <row r="102" spans="2:6">
      <c r="B102" s="19" t="s">
        <v>500</v>
      </c>
      <c r="C102" s="19" t="s">
        <v>395</v>
      </c>
      <c r="D102" s="103" t="s">
        <v>396</v>
      </c>
      <c r="E102" s="104"/>
      <c r="F102" s="19" t="s">
        <v>403</v>
      </c>
    </row>
    <row r="103" spans="2:6">
      <c r="B103" s="19"/>
      <c r="C103" s="19"/>
      <c r="D103" s="103"/>
      <c r="E103" s="104"/>
      <c r="F103" s="19"/>
    </row>
    <row r="104" spans="2:6">
      <c r="B104" s="19"/>
      <c r="C104" s="19"/>
      <c r="D104" s="103"/>
      <c r="E104" s="104"/>
      <c r="F104" s="19"/>
    </row>
    <row r="105" spans="2:6">
      <c r="B105" s="19"/>
      <c r="C105" s="19"/>
      <c r="D105" s="103"/>
      <c r="E105" s="104"/>
      <c r="F105" s="19"/>
    </row>
    <row r="106" spans="2:6">
      <c r="B106" s="19"/>
      <c r="C106" s="19"/>
      <c r="D106" s="103"/>
      <c r="E106" s="104"/>
      <c r="F106" s="19"/>
    </row>
  </sheetData>
  <mergeCells count="20">
    <mergeCell ref="D104:E104"/>
    <mergeCell ref="D105:E105"/>
    <mergeCell ref="D106:E106"/>
    <mergeCell ref="F6:F9"/>
    <mergeCell ref="F13:F16"/>
    <mergeCell ref="F32:F36"/>
    <mergeCell ref="F40:F43"/>
    <mergeCell ref="D102:E102"/>
    <mergeCell ref="D65:E65"/>
    <mergeCell ref="D70:E70"/>
    <mergeCell ref="D71:E71"/>
    <mergeCell ref="B78:G78"/>
    <mergeCell ref="D82:G82"/>
    <mergeCell ref="D87:G87"/>
    <mergeCell ref="B13:B16"/>
    <mergeCell ref="B61:G61"/>
    <mergeCell ref="D64:E64"/>
    <mergeCell ref="D72:E72"/>
    <mergeCell ref="D73:E73"/>
    <mergeCell ref="D103:E103"/>
  </mergeCells>
  <conditionalFormatting sqref="C34">
    <cfRule type="expression" dxfId="9" priority="7">
      <formula>IF($B$34="Especificar",TRUE,)</formula>
    </cfRule>
  </conditionalFormatting>
  <conditionalFormatting sqref="C36">
    <cfRule type="expression" dxfId="8" priority="6">
      <formula>IF($B$36="Especificar",TRUE,)</formula>
    </cfRule>
  </conditionalFormatting>
  <conditionalFormatting sqref="D82:G82">
    <cfRule type="expression" dxfId="7" priority="2">
      <formula>IF($C$82="Descríbelo",TRUE,"")</formula>
    </cfRule>
  </conditionalFormatting>
  <conditionalFormatting sqref="D87:G87">
    <cfRule type="expression" dxfId="6" priority="1">
      <formula>IF($C$87="Descríbelo",TRUE,"")</formula>
    </cfRule>
  </conditionalFormatting>
  <dataValidations count="2">
    <dataValidation type="list" allowBlank="1" showInputMessage="1" showErrorMessage="1" sqref="C34">
      <formula1>INDIRECT(SUBSTITUTE(C32," ","_"))</formula1>
    </dataValidation>
    <dataValidation type="list" allowBlank="1" showInputMessage="1" showErrorMessage="1" sqref="C4">
      <formula1>PP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1" r:id="rId4" name="CommandButton1">
          <controlPr defaultSize="0" autoLine="0" r:id="rId5">
            <anchor moveWithCells="1">
              <from>
                <xdr:col>2</xdr:col>
                <xdr:colOff>57150</xdr:colOff>
                <xdr:row>22</xdr:row>
                <xdr:rowOff>0</xdr:rowOff>
              </from>
              <to>
                <xdr:col>2</xdr:col>
                <xdr:colOff>1924050</xdr:colOff>
                <xdr:row>23</xdr:row>
                <xdr:rowOff>142875</xdr:rowOff>
              </to>
            </anchor>
          </controlPr>
        </control>
      </mc:Choice>
      <mc:Fallback>
        <control shapeId="1031" r:id="rId4" name="CommandButton1"/>
      </mc:Fallback>
    </mc:AlternateContent>
    <mc:AlternateContent xmlns:mc="http://schemas.openxmlformats.org/markup-compatibility/2006">
      <mc:Choice Requires="x14">
        <control shapeId="1035" r:id="rId6" name="CommandButton2">
          <controlPr defaultSize="0" autoLine="0" r:id="rId7">
            <anchor moveWithCells="1">
              <from>
                <xdr:col>1</xdr:col>
                <xdr:colOff>523875</xdr:colOff>
                <xdr:row>43</xdr:row>
                <xdr:rowOff>171450</xdr:rowOff>
              </from>
              <to>
                <xdr:col>1</xdr:col>
                <xdr:colOff>2390775</xdr:colOff>
                <xdr:row>45</xdr:row>
                <xdr:rowOff>104775</xdr:rowOff>
              </to>
            </anchor>
          </controlPr>
        </control>
      </mc:Choice>
      <mc:Fallback>
        <control shapeId="1035" r:id="rId6" name="CommandButton2"/>
      </mc:Fallback>
    </mc:AlternateContent>
    <mc:AlternateContent xmlns:mc="http://schemas.openxmlformats.org/markup-compatibility/2006">
      <mc:Choice Requires="x14">
        <control shapeId="1027" r:id="rId8" name="List Box 3">
          <controlPr defaultSize="0" autoLine="0" autoPict="0">
            <anchor moveWithCells="1">
              <from>
                <xdr:col>1</xdr:col>
                <xdr:colOff>2590800</xdr:colOff>
                <xdr:row>4</xdr:row>
                <xdr:rowOff>171450</xdr:rowOff>
              </from>
              <to>
                <xdr:col>3</xdr:col>
                <xdr:colOff>0</xdr:colOff>
                <xdr:row>8</xdr:row>
                <xdr:rowOff>142875</xdr:rowOff>
              </to>
            </anchor>
          </controlPr>
        </control>
      </mc:Choice>
    </mc:AlternateContent>
    <mc:AlternateContent xmlns:mc="http://schemas.openxmlformats.org/markup-compatibility/2006">
      <mc:Choice Requires="x14">
        <control shapeId="1028" r:id="rId9" name="Group Box 4">
          <controlPr defaultSize="0" autoFill="0" autoPict="0">
            <anchor moveWithCells="1">
              <from>
                <xdr:col>0</xdr:col>
                <xdr:colOff>619125</xdr:colOff>
                <xdr:row>0</xdr:row>
                <xdr:rowOff>190500</xdr:rowOff>
              </from>
              <to>
                <xdr:col>7</xdr:col>
                <xdr:colOff>295275</xdr:colOff>
                <xdr:row>23</xdr:row>
                <xdr:rowOff>66675</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0</xdr:col>
                <xdr:colOff>0</xdr:colOff>
                <xdr:row>24</xdr:row>
                <xdr:rowOff>180975</xdr:rowOff>
              </from>
              <to>
                <xdr:col>6</xdr:col>
                <xdr:colOff>1123950</xdr:colOff>
                <xdr:row>48</xdr:row>
                <xdr:rowOff>171450</xdr:rowOff>
              </to>
            </anchor>
          </controlPr>
        </control>
      </mc:Choice>
    </mc:AlternateContent>
    <mc:AlternateContent xmlns:mc="http://schemas.openxmlformats.org/markup-compatibility/2006">
      <mc:Choice Requires="x14">
        <control shapeId="1037" r:id="rId11" name="Check Box 13">
          <controlPr defaultSize="0" autoFill="0" autoLine="0" autoPict="0">
            <anchor moveWithCells="1">
              <from>
                <xdr:col>1</xdr:col>
                <xdr:colOff>1543050</xdr:colOff>
                <xdr:row>1</xdr:row>
                <xdr:rowOff>47625</xdr:rowOff>
              </from>
              <to>
                <xdr:col>2</xdr:col>
                <xdr:colOff>171450</xdr:colOff>
                <xdr:row>2</xdr:row>
                <xdr:rowOff>123825</xdr:rowOff>
              </to>
            </anchor>
          </controlPr>
        </control>
      </mc:Choice>
    </mc:AlternateContent>
    <mc:AlternateContent xmlns:mc="http://schemas.openxmlformats.org/markup-compatibility/2006">
      <mc:Choice Requires="x14">
        <control shapeId="1039" r:id="rId12" name="Check Box 15">
          <controlPr defaultSize="0" autoFill="0" autoLine="0" autoPict="0">
            <anchor moveWithCells="1">
              <from>
                <xdr:col>1</xdr:col>
                <xdr:colOff>1800225</xdr:colOff>
                <xdr:row>25</xdr:row>
                <xdr:rowOff>161925</xdr:rowOff>
              </from>
              <to>
                <xdr:col>2</xdr:col>
                <xdr:colOff>428625</xdr:colOff>
                <xdr:row>27</xdr:row>
                <xdr:rowOff>47625</xdr:rowOff>
              </to>
            </anchor>
          </controlPr>
        </control>
      </mc:Choice>
    </mc:AlternateContent>
    <mc:AlternateContent xmlns:mc="http://schemas.openxmlformats.org/markup-compatibility/2006">
      <mc:Choice Requires="x14">
        <control shapeId="1052" r:id="rId13" name="Group Box 28">
          <controlPr defaultSize="0" autoFill="0" autoPict="0">
            <anchor moveWithCells="1">
              <from>
                <xdr:col>0</xdr:col>
                <xdr:colOff>581025</xdr:colOff>
                <xdr:row>55</xdr:row>
                <xdr:rowOff>47625</xdr:rowOff>
              </from>
              <to>
                <xdr:col>7</xdr:col>
                <xdr:colOff>333375</xdr:colOff>
                <xdr:row>96</xdr:row>
                <xdr:rowOff>85725</xdr:rowOff>
              </to>
            </anchor>
          </controlPr>
        </control>
      </mc:Choice>
    </mc:AlternateContent>
    <mc:AlternateContent xmlns:mc="http://schemas.openxmlformats.org/markup-compatibility/2006">
      <mc:Choice Requires="x14">
        <control shapeId="1054" r:id="rId14" name="Button 30">
          <controlPr defaultSize="0" print="0" autoFill="0" autoPict="0" macro="[0]!Botón30_Haga_clic_en">
            <anchor moveWithCells="1" sizeWithCells="1">
              <from>
                <xdr:col>6</xdr:col>
                <xdr:colOff>228600</xdr:colOff>
                <xdr:row>63</xdr:row>
                <xdr:rowOff>85725</xdr:rowOff>
              </from>
              <to>
                <xdr:col>6</xdr:col>
                <xdr:colOff>1162050</xdr:colOff>
                <xdr:row>64</xdr:row>
                <xdr:rowOff>142875</xdr:rowOff>
              </to>
            </anchor>
          </controlPr>
        </control>
      </mc:Choice>
    </mc:AlternateContent>
    <mc:AlternateContent xmlns:mc="http://schemas.openxmlformats.org/markup-compatibility/2006">
      <mc:Choice Requires="x14">
        <control shapeId="1055" r:id="rId15" name="List Box 31">
          <controlPr defaultSize="0" autoLine="0" autoPict="0">
            <anchor moveWithCells="1">
              <from>
                <xdr:col>1</xdr:col>
                <xdr:colOff>228600</xdr:colOff>
                <xdr:row>68</xdr:row>
                <xdr:rowOff>161925</xdr:rowOff>
              </from>
              <to>
                <xdr:col>1</xdr:col>
                <xdr:colOff>2362200</xdr:colOff>
                <xdr:row>72</xdr:row>
                <xdr:rowOff>114300</xdr:rowOff>
              </to>
            </anchor>
          </controlPr>
        </control>
      </mc:Choice>
    </mc:AlternateContent>
    <mc:AlternateContent xmlns:mc="http://schemas.openxmlformats.org/markup-compatibility/2006">
      <mc:Choice Requires="x14">
        <control shapeId="1056" r:id="rId16" name="Option Button 32">
          <controlPr defaultSize="0" autoFill="0" autoLine="0" autoPict="0" macro="[0]!Botóndeopción32_Haga_clic_en">
            <anchor moveWithCells="1">
              <from>
                <xdr:col>1</xdr:col>
                <xdr:colOff>285750</xdr:colOff>
                <xdr:row>80</xdr:row>
                <xdr:rowOff>76200</xdr:rowOff>
              </from>
              <to>
                <xdr:col>1</xdr:col>
                <xdr:colOff>809625</xdr:colOff>
                <xdr:row>81</xdr:row>
                <xdr:rowOff>104775</xdr:rowOff>
              </to>
            </anchor>
          </controlPr>
        </control>
      </mc:Choice>
    </mc:AlternateContent>
    <mc:AlternateContent xmlns:mc="http://schemas.openxmlformats.org/markup-compatibility/2006">
      <mc:Choice Requires="x14">
        <control shapeId="1058" r:id="rId17" name="Option Button 34">
          <controlPr defaultSize="0" autoFill="0" autoLine="0" autoPict="0">
            <anchor moveWithCells="1">
              <from>
                <xdr:col>1</xdr:col>
                <xdr:colOff>1104900</xdr:colOff>
                <xdr:row>80</xdr:row>
                <xdr:rowOff>66675</xdr:rowOff>
              </from>
              <to>
                <xdr:col>1</xdr:col>
                <xdr:colOff>1628775</xdr:colOff>
                <xdr:row>81</xdr:row>
                <xdr:rowOff>95250</xdr:rowOff>
              </to>
            </anchor>
          </controlPr>
        </control>
      </mc:Choice>
    </mc:AlternateContent>
    <mc:AlternateContent xmlns:mc="http://schemas.openxmlformats.org/markup-compatibility/2006">
      <mc:Choice Requires="x14">
        <control shapeId="1065" r:id="rId18" name="Group Box 41">
          <controlPr defaultSize="0" autoFill="0" autoPict="0">
            <anchor moveWithCells="1">
              <from>
                <xdr:col>1</xdr:col>
                <xdr:colOff>247650</xdr:colOff>
                <xdr:row>80</xdr:row>
                <xdr:rowOff>9525</xdr:rowOff>
              </from>
              <to>
                <xdr:col>1</xdr:col>
                <xdr:colOff>1724025</xdr:colOff>
                <xdr:row>82</xdr:row>
                <xdr:rowOff>38100</xdr:rowOff>
              </to>
            </anchor>
          </controlPr>
        </control>
      </mc:Choice>
    </mc:AlternateContent>
    <mc:AlternateContent xmlns:mc="http://schemas.openxmlformats.org/markup-compatibility/2006">
      <mc:Choice Requires="x14">
        <control shapeId="1066" r:id="rId19" name="Group Box 42">
          <controlPr defaultSize="0" autoFill="0" autoPict="0">
            <anchor moveWithCells="1">
              <from>
                <xdr:col>1</xdr:col>
                <xdr:colOff>247650</xdr:colOff>
                <xdr:row>86</xdr:row>
                <xdr:rowOff>47625</xdr:rowOff>
              </from>
              <to>
                <xdr:col>1</xdr:col>
                <xdr:colOff>1609725</xdr:colOff>
                <xdr:row>88</xdr:row>
                <xdr:rowOff>28575</xdr:rowOff>
              </to>
            </anchor>
          </controlPr>
        </control>
      </mc:Choice>
    </mc:AlternateContent>
    <mc:AlternateContent xmlns:mc="http://schemas.openxmlformats.org/markup-compatibility/2006">
      <mc:Choice Requires="x14">
        <control shapeId="1067" r:id="rId20" name="Option Button 43">
          <controlPr defaultSize="0" autoFill="0" autoLine="0" autoPict="0">
            <anchor moveWithCells="1">
              <from>
                <xdr:col>1</xdr:col>
                <xdr:colOff>314325</xdr:colOff>
                <xdr:row>86</xdr:row>
                <xdr:rowOff>161925</xdr:rowOff>
              </from>
              <to>
                <xdr:col>1</xdr:col>
                <xdr:colOff>619125</xdr:colOff>
                <xdr:row>88</xdr:row>
                <xdr:rowOff>0</xdr:rowOff>
              </to>
            </anchor>
          </controlPr>
        </control>
      </mc:Choice>
    </mc:AlternateContent>
    <mc:AlternateContent xmlns:mc="http://schemas.openxmlformats.org/markup-compatibility/2006">
      <mc:Choice Requires="x14">
        <control shapeId="1068" r:id="rId21" name="Option Button 44">
          <controlPr defaultSize="0" autoFill="0" autoLine="0" autoPict="0">
            <anchor moveWithCells="1">
              <from>
                <xdr:col>1</xdr:col>
                <xdr:colOff>923925</xdr:colOff>
                <xdr:row>86</xdr:row>
                <xdr:rowOff>152400</xdr:rowOff>
              </from>
              <to>
                <xdr:col>1</xdr:col>
                <xdr:colOff>1333500</xdr:colOff>
                <xdr:row>87</xdr:row>
                <xdr:rowOff>180975</xdr:rowOff>
              </to>
            </anchor>
          </controlPr>
        </control>
      </mc:Choice>
    </mc:AlternateContent>
    <mc:AlternateContent xmlns:mc="http://schemas.openxmlformats.org/markup-compatibility/2006">
      <mc:Choice Requires="x14">
        <control shapeId="1069" r:id="rId22" name="List Box 45">
          <controlPr defaultSize="0" autoLine="0" autoPict="0">
            <anchor moveWithCells="1">
              <from>
                <xdr:col>1</xdr:col>
                <xdr:colOff>161925</xdr:colOff>
                <xdr:row>91</xdr:row>
                <xdr:rowOff>95250</xdr:rowOff>
              </from>
              <to>
                <xdr:col>3</xdr:col>
                <xdr:colOff>47625</xdr:colOff>
                <xdr:row>94</xdr:row>
                <xdr:rowOff>180975</xdr:rowOff>
              </to>
            </anchor>
          </controlPr>
        </control>
      </mc:Choice>
    </mc:AlternateContent>
    <mc:AlternateContent xmlns:mc="http://schemas.openxmlformats.org/markup-compatibility/2006">
      <mc:Choice Requires="x14">
        <control shapeId="1071" r:id="rId23" name="Group Box 47">
          <controlPr defaultSize="0" autoFill="0" autoPict="0">
            <anchor moveWithCells="1">
              <from>
                <xdr:col>0</xdr:col>
                <xdr:colOff>581025</xdr:colOff>
                <xdr:row>97</xdr:row>
                <xdr:rowOff>142875</xdr:rowOff>
              </from>
              <to>
                <xdr:col>7</xdr:col>
                <xdr:colOff>304800</xdr:colOff>
                <xdr:row>107</xdr:row>
                <xdr:rowOff>152400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Listas!$E$2:$E$4</xm:f>
          </x14:formula1>
          <xm:sqref>C32</xm:sqref>
        </x14:dataValidation>
        <x14:dataValidation type="list" allowBlank="1" showInputMessage="1" showErrorMessage="1">
          <x14:formula1>
            <xm:f>Listas!$E$39:$E$42</xm:f>
          </x14:formula1>
          <xm:sqref>C103:C106</xm:sqref>
        </x14:dataValidation>
        <x14:dataValidation type="list" allowBlank="1" showInputMessage="1" showErrorMessage="1">
          <x14:formula1>
            <xm:f>Listas!$F$39:$F$41</xm:f>
          </x14:formula1>
          <xm:sqref>D103:E106</xm:sqref>
        </x14:dataValidation>
        <x14:dataValidation type="list" allowBlank="1" showInputMessage="1" showErrorMessage="1">
          <x14:formula1>
            <xm:f>Listas!$G$39:$G$41</xm:f>
          </x14:formula1>
          <xm:sqref>F103:F106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2:N69"/>
  <sheetViews>
    <sheetView topLeftCell="A53" workbookViewId="0">
      <selection activeCell="A65" sqref="A65:XFD69"/>
    </sheetView>
  </sheetViews>
  <sheetFormatPr baseColWidth="10" defaultRowHeight="15"/>
  <cols>
    <col min="1" max="2" width="11.42578125" style="24"/>
    <col min="3" max="3" width="12.140625" style="24" bestFit="1" customWidth="1"/>
    <col min="4" max="4" width="14.5703125" style="24" bestFit="1" customWidth="1"/>
    <col min="5" max="5" width="11.42578125" style="24"/>
    <col min="6" max="6" width="14" style="24" bestFit="1" customWidth="1"/>
    <col min="7" max="7" width="9" style="24" customWidth="1"/>
    <col min="8" max="8" width="12" style="24" customWidth="1"/>
    <col min="9" max="9" width="11.42578125" style="24"/>
    <col min="10" max="12" width="26.140625" style="24" customWidth="1"/>
    <col min="13" max="13" width="26.85546875" style="24" customWidth="1"/>
    <col min="14" max="14" width="20.7109375" style="24" customWidth="1"/>
    <col min="15" max="16384" width="11.42578125" style="24"/>
  </cols>
  <sheetData>
    <row r="2" spans="1:8">
      <c r="A2" s="24" t="s">
        <v>405</v>
      </c>
    </row>
    <row r="5" spans="1:8" ht="15.75" thickBot="1"/>
    <row r="6" spans="1:8" ht="15.75" thickBot="1">
      <c r="D6" s="25" t="s">
        <v>410</v>
      </c>
      <c r="H6" s="25" t="s">
        <v>411</v>
      </c>
    </row>
    <row r="9" spans="1:8" ht="15.75" thickBot="1"/>
    <row r="10" spans="1:8" ht="16.5" thickBot="1">
      <c r="E10" s="110" t="s">
        <v>406</v>
      </c>
      <c r="F10" s="111"/>
      <c r="G10" s="112"/>
    </row>
    <row r="12" spans="1:8" ht="15.75" thickBot="1"/>
    <row r="13" spans="1:8" ht="15.75" thickBot="1">
      <c r="D13" s="25" t="s">
        <v>407</v>
      </c>
      <c r="F13" s="25" t="s">
        <v>408</v>
      </c>
      <c r="H13" s="25" t="s">
        <v>409</v>
      </c>
    </row>
    <row r="15" spans="1:8" ht="15.75" thickBot="1"/>
    <row r="16" spans="1:8" ht="15.75" thickBot="1">
      <c r="D16" s="26" t="s">
        <v>412</v>
      </c>
      <c r="E16" s="27"/>
      <c r="F16" s="26" t="s">
        <v>413</v>
      </c>
      <c r="G16" s="27"/>
      <c r="H16" s="26" t="s">
        <v>414</v>
      </c>
    </row>
    <row r="17" spans="1:12" ht="15.75" thickBot="1">
      <c r="D17" s="27"/>
      <c r="E17" s="27"/>
      <c r="F17" s="27"/>
      <c r="G17" s="27"/>
      <c r="H17" s="27"/>
    </row>
    <row r="18" spans="1:12" ht="15.75" thickBot="1">
      <c r="D18" s="26" t="s">
        <v>415</v>
      </c>
      <c r="E18" s="27"/>
      <c r="F18" s="26" t="s">
        <v>416</v>
      </c>
      <c r="G18" s="27"/>
      <c r="H18" s="26" t="s">
        <v>417</v>
      </c>
    </row>
    <row r="19" spans="1:12" ht="15.75" thickBot="1">
      <c r="D19" s="27"/>
      <c r="E19" s="27"/>
      <c r="F19" s="27"/>
      <c r="G19" s="27"/>
      <c r="H19" s="27"/>
    </row>
    <row r="20" spans="1:12" ht="15.75" thickBot="1">
      <c r="D20" s="26" t="s">
        <v>418</v>
      </c>
      <c r="E20" s="27"/>
      <c r="F20" s="27"/>
      <c r="G20" s="27"/>
      <c r="H20" s="26" t="s">
        <v>419</v>
      </c>
    </row>
    <row r="25" spans="1:12">
      <c r="A25" s="24" t="s">
        <v>435</v>
      </c>
    </row>
    <row r="26" spans="1:12" ht="15.75" thickBot="1"/>
    <row r="27" spans="1:12" ht="26.25" thickBot="1">
      <c r="B27" s="28" t="s">
        <v>436</v>
      </c>
      <c r="C27" s="116" t="s">
        <v>437</v>
      </c>
      <c r="D27" s="117"/>
      <c r="E27" s="113" t="s">
        <v>438</v>
      </c>
      <c r="F27" s="114"/>
      <c r="G27" s="114"/>
      <c r="H27" s="115"/>
      <c r="I27" s="89" t="s">
        <v>364</v>
      </c>
      <c r="J27" s="90" t="s">
        <v>439</v>
      </c>
      <c r="K27" s="28" t="s">
        <v>449</v>
      </c>
      <c r="L27" s="29" t="s">
        <v>450</v>
      </c>
    </row>
    <row r="28" spans="1:12">
      <c r="B28" s="30" t="s">
        <v>440</v>
      </c>
      <c r="C28" s="118"/>
      <c r="D28" s="119"/>
      <c r="E28" s="121"/>
      <c r="F28" s="121"/>
      <c r="G28" s="121"/>
      <c r="H28" s="121"/>
      <c r="I28" s="33"/>
      <c r="J28" s="33"/>
      <c r="K28" s="33"/>
      <c r="L28" s="33"/>
    </row>
    <row r="29" spans="1:12">
      <c r="B29" s="30" t="s">
        <v>441</v>
      </c>
      <c r="C29" s="118"/>
      <c r="D29" s="119"/>
      <c r="E29" s="120"/>
      <c r="F29" s="120"/>
      <c r="G29" s="120"/>
      <c r="H29" s="120"/>
      <c r="I29" s="30"/>
      <c r="J29" s="30"/>
      <c r="K29" s="30"/>
      <c r="L29" s="30"/>
    </row>
    <row r="30" spans="1:12">
      <c r="B30" s="30" t="s">
        <v>442</v>
      </c>
      <c r="C30" s="118"/>
      <c r="D30" s="119"/>
      <c r="E30" s="120"/>
      <c r="F30" s="120"/>
      <c r="G30" s="120"/>
      <c r="H30" s="120"/>
      <c r="I30" s="30"/>
      <c r="J30" s="30"/>
      <c r="K30" s="30"/>
      <c r="L30" s="30"/>
    </row>
    <row r="31" spans="1:12">
      <c r="B31" s="30" t="s">
        <v>443</v>
      </c>
      <c r="C31" s="118"/>
      <c r="D31" s="119"/>
      <c r="E31" s="120"/>
      <c r="F31" s="120"/>
      <c r="G31" s="120"/>
      <c r="H31" s="120"/>
      <c r="I31" s="30"/>
      <c r="J31" s="30"/>
      <c r="K31" s="30"/>
      <c r="L31" s="30"/>
    </row>
    <row r="32" spans="1:12">
      <c r="B32" s="30" t="s">
        <v>444</v>
      </c>
      <c r="C32" s="31"/>
      <c r="D32" s="32"/>
      <c r="E32" s="120"/>
      <c r="F32" s="120"/>
      <c r="G32" s="120"/>
      <c r="H32" s="120"/>
      <c r="I32" s="30"/>
      <c r="J32" s="30"/>
      <c r="K32" s="30"/>
      <c r="L32" s="30"/>
    </row>
    <row r="33" spans="1:12">
      <c r="B33" s="30" t="s">
        <v>445</v>
      </c>
      <c r="C33" s="118"/>
      <c r="D33" s="119"/>
      <c r="E33" s="120"/>
      <c r="F33" s="120"/>
      <c r="G33" s="120"/>
      <c r="H33" s="120"/>
      <c r="I33" s="30"/>
      <c r="J33" s="30"/>
      <c r="K33" s="30"/>
      <c r="L33" s="30"/>
    </row>
    <row r="34" spans="1:12">
      <c r="B34" s="30" t="s">
        <v>446</v>
      </c>
      <c r="C34" s="118"/>
      <c r="D34" s="119"/>
      <c r="E34" s="120"/>
      <c r="F34" s="120"/>
      <c r="G34" s="120"/>
      <c r="H34" s="120"/>
      <c r="I34" s="30"/>
      <c r="J34" s="30"/>
      <c r="K34" s="30"/>
      <c r="L34" s="30"/>
    </row>
    <row r="40" spans="1:12">
      <c r="A40" s="24" t="s">
        <v>426</v>
      </c>
    </row>
    <row r="44" spans="1:12" ht="15.75" thickBot="1"/>
    <row r="45" spans="1:12" ht="15.75" thickBot="1">
      <c r="D45" s="25" t="s">
        <v>424</v>
      </c>
      <c r="H45" s="25" t="s">
        <v>425</v>
      </c>
    </row>
    <row r="48" spans="1:12" ht="15.75" thickBot="1"/>
    <row r="49" spans="4:8" ht="16.5" thickBot="1">
      <c r="E49" s="110" t="s">
        <v>423</v>
      </c>
      <c r="F49" s="111"/>
      <c r="G49" s="112"/>
    </row>
    <row r="51" spans="4:8" ht="15.75" thickBot="1"/>
    <row r="52" spans="4:8" ht="15.75" thickBot="1">
      <c r="D52" s="25" t="s">
        <v>796</v>
      </c>
      <c r="F52" s="25" t="s">
        <v>447</v>
      </c>
      <c r="H52" s="25" t="s">
        <v>448</v>
      </c>
    </row>
    <row r="54" spans="4:8" ht="15.75" thickBot="1"/>
    <row r="55" spans="4:8" ht="15.75" thickBot="1">
      <c r="D55" s="26" t="s">
        <v>427</v>
      </c>
      <c r="E55" s="27"/>
      <c r="F55" s="26" t="s">
        <v>428</v>
      </c>
      <c r="G55" s="27"/>
      <c r="H55" s="26" t="s">
        <v>429</v>
      </c>
    </row>
    <row r="56" spans="4:8" ht="15.75" thickBot="1">
      <c r="D56" s="27"/>
      <c r="E56" s="27"/>
      <c r="F56" s="27"/>
      <c r="G56" s="27"/>
      <c r="H56" s="27"/>
    </row>
    <row r="57" spans="4:8" ht="15.75" thickBot="1">
      <c r="D57" s="26" t="s">
        <v>430</v>
      </c>
      <c r="E57" s="27"/>
      <c r="F57" s="26" t="s">
        <v>431</v>
      </c>
      <c r="G57" s="27"/>
      <c r="H57" s="26" t="s">
        <v>432</v>
      </c>
    </row>
    <row r="58" spans="4:8" ht="15.75" thickBot="1">
      <c r="D58" s="27"/>
      <c r="E58" s="27"/>
      <c r="F58" s="27"/>
      <c r="G58" s="27"/>
      <c r="H58" s="27"/>
    </row>
    <row r="59" spans="4:8" ht="15.75" thickBot="1">
      <c r="D59" s="26" t="s">
        <v>433</v>
      </c>
      <c r="E59" s="27"/>
      <c r="F59" s="27"/>
      <c r="G59" s="27"/>
      <c r="H59" s="26" t="s">
        <v>434</v>
      </c>
    </row>
    <row r="65" spans="2:14" s="94" customFormat="1" ht="45" customHeight="1">
      <c r="B65" s="124" t="s">
        <v>512</v>
      </c>
      <c r="C65" s="125"/>
      <c r="D65" s="124" t="s">
        <v>513</v>
      </c>
      <c r="E65" s="125"/>
      <c r="F65" s="91" t="s">
        <v>514</v>
      </c>
      <c r="G65" s="124" t="s">
        <v>515</v>
      </c>
      <c r="H65" s="125"/>
      <c r="I65" s="91" t="s">
        <v>516</v>
      </c>
      <c r="J65" s="91" t="s">
        <v>517</v>
      </c>
      <c r="K65" s="92" t="s">
        <v>946</v>
      </c>
      <c r="L65" s="92" t="s">
        <v>947</v>
      </c>
      <c r="M65" s="93" t="s">
        <v>948</v>
      </c>
      <c r="N65" s="93" t="s">
        <v>949</v>
      </c>
    </row>
    <row r="66" spans="2:14" s="94" customFormat="1">
      <c r="B66" s="122"/>
      <c r="C66" s="123"/>
      <c r="D66" s="122"/>
      <c r="E66" s="123"/>
      <c r="F66" s="95"/>
      <c r="G66" s="122"/>
      <c r="H66" s="123"/>
      <c r="I66" s="95"/>
      <c r="J66" s="95"/>
      <c r="K66" s="95"/>
      <c r="L66" s="95"/>
      <c r="M66" s="95"/>
      <c r="N66" s="95"/>
    </row>
    <row r="67" spans="2:14" s="94" customFormat="1">
      <c r="B67" s="122"/>
      <c r="C67" s="123"/>
      <c r="D67" s="122"/>
      <c r="E67" s="123"/>
      <c r="F67" s="95"/>
      <c r="G67" s="122"/>
      <c r="H67" s="123"/>
      <c r="I67" s="95"/>
      <c r="J67" s="95"/>
      <c r="K67" s="95"/>
      <c r="L67" s="95"/>
      <c r="M67" s="95"/>
      <c r="N67" s="95"/>
    </row>
    <row r="68" spans="2:14" s="94" customFormat="1">
      <c r="B68" s="122"/>
      <c r="C68" s="123"/>
      <c r="D68" s="122"/>
      <c r="E68" s="123"/>
      <c r="F68" s="95"/>
      <c r="G68" s="122"/>
      <c r="H68" s="123"/>
      <c r="I68" s="95"/>
      <c r="J68" s="95"/>
      <c r="K68" s="95"/>
      <c r="L68" s="95"/>
      <c r="M68" s="95"/>
      <c r="N68" s="95"/>
    </row>
    <row r="69" spans="2:14" s="94" customFormat="1">
      <c r="B69" s="122"/>
      <c r="C69" s="123"/>
      <c r="D69" s="122"/>
      <c r="E69" s="123"/>
      <c r="F69" s="95"/>
      <c r="G69" s="122"/>
      <c r="H69" s="123"/>
      <c r="I69" s="95"/>
      <c r="J69" s="95"/>
      <c r="K69" s="95"/>
      <c r="L69" s="95"/>
      <c r="M69" s="95"/>
      <c r="N69" s="95"/>
    </row>
  </sheetData>
  <mergeCells count="32">
    <mergeCell ref="C33:D33"/>
    <mergeCell ref="G66:H66"/>
    <mergeCell ref="G67:H67"/>
    <mergeCell ref="G68:H68"/>
    <mergeCell ref="G69:H69"/>
    <mergeCell ref="B65:C65"/>
    <mergeCell ref="B66:C66"/>
    <mergeCell ref="B67:C67"/>
    <mergeCell ref="B68:C68"/>
    <mergeCell ref="B69:C69"/>
    <mergeCell ref="D66:E66"/>
    <mergeCell ref="D67:E67"/>
    <mergeCell ref="D68:E68"/>
    <mergeCell ref="D69:E69"/>
    <mergeCell ref="G65:H65"/>
    <mergeCell ref="D65:E65"/>
    <mergeCell ref="E10:G10"/>
    <mergeCell ref="E49:G49"/>
    <mergeCell ref="E27:H27"/>
    <mergeCell ref="C27:D27"/>
    <mergeCell ref="C28:D28"/>
    <mergeCell ref="C29:D29"/>
    <mergeCell ref="C30:D30"/>
    <mergeCell ref="C31:D31"/>
    <mergeCell ref="E32:H32"/>
    <mergeCell ref="C34:D34"/>
    <mergeCell ref="E28:H28"/>
    <mergeCell ref="E29:H29"/>
    <mergeCell ref="E30:H30"/>
    <mergeCell ref="E31:H31"/>
    <mergeCell ref="E33:H33"/>
    <mergeCell ref="E34:H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1_Haga_clic_en">
                <anchor moveWithCells="1" sizeWithCells="1">
                  <from>
                    <xdr:col>7</xdr:col>
                    <xdr:colOff>361950</xdr:colOff>
                    <xdr:row>9</xdr:row>
                    <xdr:rowOff>114300</xdr:rowOff>
                  </from>
                  <to>
                    <xdr:col>8</xdr:col>
                    <xdr:colOff>276225</xdr:colOff>
                    <xdr:row>10</xdr:row>
                    <xdr:rowOff>142875</xdr:rowOff>
                  </to>
                </anchor>
              </controlPr>
            </control>
          </mc:Choice>
        </mc:AlternateContent>
        <mc:AlternateContent xmlns:mc="http://schemas.openxmlformats.org/markup-compatibility/2006">
          <mc:Choice Requires="x14">
            <control shapeId="3074" r:id="rId5" name="Button 2">
              <controlPr defaultSize="0" print="0" autoFill="0" autoPict="0" macro="[0]!Botón2_Haga_clic_en">
                <anchor moveWithCells="1" sizeWithCells="1">
                  <from>
                    <xdr:col>7</xdr:col>
                    <xdr:colOff>152400</xdr:colOff>
                    <xdr:row>7</xdr:row>
                    <xdr:rowOff>57150</xdr:rowOff>
                  </from>
                  <to>
                    <xdr:col>8</xdr:col>
                    <xdr:colOff>581025</xdr:colOff>
                    <xdr:row>8</xdr:row>
                    <xdr:rowOff>57150</xdr:rowOff>
                  </to>
                </anchor>
              </controlPr>
            </control>
          </mc:Choice>
        </mc:AlternateContent>
        <mc:AlternateContent xmlns:mc="http://schemas.openxmlformats.org/markup-compatibility/2006">
          <mc:Choice Requires="x14">
            <control shapeId="3075" r:id="rId6" name="Button 3">
              <controlPr defaultSize="0" print="0" autoFill="0" autoPict="0" macro="[0]!Botón1_Haga_clic_en">
                <anchor moveWithCells="1" sizeWithCells="1">
                  <from>
                    <xdr:col>8</xdr:col>
                    <xdr:colOff>85725</xdr:colOff>
                    <xdr:row>13</xdr:row>
                    <xdr:rowOff>76200</xdr:rowOff>
                  </from>
                  <to>
                    <xdr:col>9</xdr:col>
                    <xdr:colOff>209550</xdr:colOff>
                    <xdr:row>14</xdr:row>
                    <xdr:rowOff>123825</xdr:rowOff>
                  </to>
                </anchor>
              </controlPr>
            </control>
          </mc:Choice>
        </mc:AlternateContent>
        <mc:AlternateContent xmlns:mc="http://schemas.openxmlformats.org/markup-compatibility/2006">
          <mc:Choice Requires="x14">
            <control shapeId="3079" r:id="rId7" name="Button 7">
              <controlPr defaultSize="0" print="0" autoFill="0" autoPict="0" macro="[0]!Botón1_Haga_clic_en">
                <anchor moveWithCells="1" sizeWithCells="1">
                  <from>
                    <xdr:col>8</xdr:col>
                    <xdr:colOff>619125</xdr:colOff>
                    <xdr:row>48</xdr:row>
                    <xdr:rowOff>76200</xdr:rowOff>
                  </from>
                  <to>
                    <xdr:col>10</xdr:col>
                    <xdr:colOff>0</xdr:colOff>
                    <xdr:row>49</xdr:row>
                    <xdr:rowOff>104775</xdr:rowOff>
                  </to>
                </anchor>
              </controlPr>
            </control>
          </mc:Choice>
        </mc:AlternateContent>
        <mc:AlternateContent xmlns:mc="http://schemas.openxmlformats.org/markup-compatibility/2006">
          <mc:Choice Requires="x14">
            <control shapeId="3080" r:id="rId8" name="Button 8">
              <controlPr defaultSize="0" print="0" autoFill="0" autoPict="0" macro="[0]!Botón2_Haga_clic_en">
                <anchor moveWithCells="1" sizeWithCells="1">
                  <from>
                    <xdr:col>8</xdr:col>
                    <xdr:colOff>542925</xdr:colOff>
                    <xdr:row>46</xdr:row>
                    <xdr:rowOff>66675</xdr:rowOff>
                  </from>
                  <to>
                    <xdr:col>10</xdr:col>
                    <xdr:colOff>0</xdr:colOff>
                    <xdr:row>47</xdr:row>
                    <xdr:rowOff>66675</xdr:rowOff>
                  </to>
                </anchor>
              </controlPr>
            </control>
          </mc:Choice>
        </mc:AlternateContent>
        <mc:AlternateContent xmlns:mc="http://schemas.openxmlformats.org/markup-compatibility/2006">
          <mc:Choice Requires="x14">
            <control shapeId="3081" r:id="rId9" name="Button 9">
              <controlPr defaultSize="0" print="0" autoFill="0" autoPict="0" macro="[0]!Botón1_Haga_clic_en">
                <anchor moveWithCells="1" sizeWithCells="1">
                  <from>
                    <xdr:col>8</xdr:col>
                    <xdr:colOff>647700</xdr:colOff>
                    <xdr:row>50</xdr:row>
                    <xdr:rowOff>190500</xdr:rowOff>
                  </from>
                  <to>
                    <xdr:col>10</xdr:col>
                    <xdr:colOff>0</xdr:colOff>
                    <xdr:row>52</xdr:row>
                    <xdr:rowOff>28575</xdr:rowOff>
                  </to>
                </anchor>
              </controlPr>
            </control>
          </mc:Choice>
        </mc:AlternateContent>
        <mc:AlternateContent xmlns:mc="http://schemas.openxmlformats.org/markup-compatibility/2006">
          <mc:Choice Requires="x14">
            <control shapeId="3084" r:id="rId10" name="Button 12">
              <controlPr defaultSize="0" print="0" autoFill="0" autoPict="0" macro="[0]!Botón12_Haga_clic_en">
                <anchor moveWithCells="1" sizeWithCells="1">
                  <from>
                    <xdr:col>4</xdr:col>
                    <xdr:colOff>257175</xdr:colOff>
                    <xdr:row>43</xdr:row>
                    <xdr:rowOff>142875</xdr:rowOff>
                  </from>
                  <to>
                    <xdr:col>5</xdr:col>
                    <xdr:colOff>76200</xdr:colOff>
                    <xdr:row>44</xdr:row>
                    <xdr:rowOff>142875</xdr:rowOff>
                  </to>
                </anchor>
              </controlPr>
            </control>
          </mc:Choice>
        </mc:AlternateContent>
        <mc:AlternateContent xmlns:mc="http://schemas.openxmlformats.org/markup-compatibility/2006">
          <mc:Choice Requires="x14">
            <control shapeId="3086" r:id="rId11" name="Button 14">
              <controlPr defaultSize="0" print="0" autoFill="0" autoPict="0" macro="[0]!Botón12_Haga_clic_en">
                <anchor moveWithCells="1" sizeWithCells="1">
                  <from>
                    <xdr:col>3</xdr:col>
                    <xdr:colOff>762000</xdr:colOff>
                    <xdr:row>52</xdr:row>
                    <xdr:rowOff>19050</xdr:rowOff>
                  </from>
                  <to>
                    <xdr:col>4</xdr:col>
                    <xdr:colOff>371475</xdr:colOff>
                    <xdr:row>53</xdr:row>
                    <xdr:rowOff>28575</xdr:rowOff>
                  </to>
                </anchor>
              </controlPr>
            </control>
          </mc:Choice>
        </mc:AlternateContent>
        <mc:AlternateContent xmlns:mc="http://schemas.openxmlformats.org/markup-compatibility/2006">
          <mc:Choice Requires="x14">
            <control shapeId="3087" r:id="rId12" name="Button 15">
              <controlPr defaultSize="0" print="0" autoFill="0" autoPict="0" macro="[0]!Botón12_Haga_clic_en">
                <anchor moveWithCells="1" sizeWithCells="1">
                  <from>
                    <xdr:col>3</xdr:col>
                    <xdr:colOff>857250</xdr:colOff>
                    <xdr:row>55</xdr:row>
                    <xdr:rowOff>0</xdr:rowOff>
                  </from>
                  <to>
                    <xdr:col>4</xdr:col>
                    <xdr:colOff>466725</xdr:colOff>
                    <xdr:row>56</xdr:row>
                    <xdr:rowOff>0</xdr:rowOff>
                  </to>
                </anchor>
              </controlPr>
            </control>
          </mc:Choice>
        </mc:AlternateContent>
        <mc:AlternateContent xmlns:mc="http://schemas.openxmlformats.org/markup-compatibility/2006">
          <mc:Choice Requires="x14">
            <control shapeId="3088" r:id="rId13" name="Button 16">
              <controlPr defaultSize="0" print="0" autoFill="0" autoPict="0" macro="[0]!Botón12_Haga_clic_en">
                <anchor moveWithCells="1" sizeWithCells="1">
                  <from>
                    <xdr:col>3</xdr:col>
                    <xdr:colOff>885825</xdr:colOff>
                    <xdr:row>57</xdr:row>
                    <xdr:rowOff>190500</xdr:rowOff>
                  </from>
                  <to>
                    <xdr:col>4</xdr:col>
                    <xdr:colOff>495300</xdr:colOff>
                    <xdr:row>58</xdr:row>
                    <xdr:rowOff>190500</xdr:rowOff>
                  </to>
                </anchor>
              </controlPr>
            </control>
          </mc:Choice>
        </mc:AlternateContent>
        <mc:AlternateContent xmlns:mc="http://schemas.openxmlformats.org/markup-compatibility/2006">
          <mc:Choice Requires="x14">
            <control shapeId="3096" r:id="rId14" name="Button 24">
              <controlPr defaultSize="0" print="0" autoFill="0" autoPict="0" macro="[0]!Botón12_Haga_clic_en">
                <anchor moveWithCells="1" sizeWithCells="1">
                  <from>
                    <xdr:col>3</xdr:col>
                    <xdr:colOff>685800</xdr:colOff>
                    <xdr:row>19</xdr:row>
                    <xdr:rowOff>133350</xdr:rowOff>
                  </from>
                  <to>
                    <xdr:col>4</xdr:col>
                    <xdr:colOff>295275</xdr:colOff>
                    <xdr:row>20</xdr:row>
                    <xdr:rowOff>133350</xdr:rowOff>
                  </to>
                </anchor>
              </controlPr>
            </control>
          </mc:Choice>
        </mc:AlternateContent>
        <mc:AlternateContent xmlns:mc="http://schemas.openxmlformats.org/markup-compatibility/2006">
          <mc:Choice Requires="x14">
            <control shapeId="3097" r:id="rId15" name="Button 25">
              <controlPr defaultSize="0" print="0" autoFill="0" autoPict="0" macro="[0]!Botón12_Haga_clic_en">
                <anchor moveWithCells="1" sizeWithCells="1">
                  <from>
                    <xdr:col>3</xdr:col>
                    <xdr:colOff>819150</xdr:colOff>
                    <xdr:row>12</xdr:row>
                    <xdr:rowOff>133350</xdr:rowOff>
                  </from>
                  <to>
                    <xdr:col>4</xdr:col>
                    <xdr:colOff>428625</xdr:colOff>
                    <xdr:row>13</xdr:row>
                    <xdr:rowOff>133350</xdr:rowOff>
                  </to>
                </anchor>
              </controlPr>
            </control>
          </mc:Choice>
        </mc:AlternateContent>
        <mc:AlternateContent xmlns:mc="http://schemas.openxmlformats.org/markup-compatibility/2006">
          <mc:Choice Requires="x14">
            <control shapeId="3098" r:id="rId16" name="Button 26">
              <controlPr defaultSize="0" print="0" autoFill="0" autoPict="0" macro="[0]!Botón12_Haga_clic_en">
                <anchor moveWithCells="1" sizeWithCells="1">
                  <from>
                    <xdr:col>3</xdr:col>
                    <xdr:colOff>771525</xdr:colOff>
                    <xdr:row>15</xdr:row>
                    <xdr:rowOff>114300</xdr:rowOff>
                  </from>
                  <to>
                    <xdr:col>4</xdr:col>
                    <xdr:colOff>381000</xdr:colOff>
                    <xdr:row>16</xdr:row>
                    <xdr:rowOff>114300</xdr:rowOff>
                  </to>
                </anchor>
              </controlPr>
            </control>
          </mc:Choice>
        </mc:AlternateContent>
        <mc:AlternateContent xmlns:mc="http://schemas.openxmlformats.org/markup-compatibility/2006">
          <mc:Choice Requires="x14">
            <control shapeId="3099" r:id="rId17" name="Button 27">
              <controlPr defaultSize="0" print="0" autoFill="0" autoPict="0" macro="[0]!Botón12_Haga_clic_en">
                <anchor moveWithCells="1" sizeWithCells="1">
                  <from>
                    <xdr:col>3</xdr:col>
                    <xdr:colOff>819150</xdr:colOff>
                    <xdr:row>17</xdr:row>
                    <xdr:rowOff>152400</xdr:rowOff>
                  </from>
                  <to>
                    <xdr:col>4</xdr:col>
                    <xdr:colOff>428625</xdr:colOff>
                    <xdr:row>18</xdr:row>
                    <xdr:rowOff>152400</xdr:rowOff>
                  </to>
                </anchor>
              </controlPr>
            </control>
          </mc:Choice>
        </mc:AlternateContent>
        <mc:AlternateContent xmlns:mc="http://schemas.openxmlformats.org/markup-compatibility/2006">
          <mc:Choice Requires="x14">
            <control shapeId="3100" r:id="rId18" name="Button 28">
              <controlPr defaultSize="0" print="0" autoFill="0" autoPict="0" macro="[0]!Botón12_Haga_clic_en">
                <anchor moveWithCells="1" sizeWithCells="1">
                  <from>
                    <xdr:col>3</xdr:col>
                    <xdr:colOff>657225</xdr:colOff>
                    <xdr:row>6</xdr:row>
                    <xdr:rowOff>19050</xdr:rowOff>
                  </from>
                  <to>
                    <xdr:col>4</xdr:col>
                    <xdr:colOff>266700</xdr:colOff>
                    <xdr:row>7</xdr:row>
                    <xdr:rowOff>28575</xdr:rowOff>
                  </to>
                </anchor>
              </controlPr>
            </control>
          </mc:Choice>
        </mc:AlternateContent>
        <mc:AlternateContent xmlns:mc="http://schemas.openxmlformats.org/markup-compatibility/2006">
          <mc:Choice Requires="x14">
            <control shapeId="3101" r:id="rId19" name="Group Box 29">
              <controlPr defaultSize="0" autoFill="0" autoPict="0">
                <anchor moveWithCells="1">
                  <from>
                    <xdr:col>0</xdr:col>
                    <xdr:colOff>228600</xdr:colOff>
                    <xdr:row>62</xdr:row>
                    <xdr:rowOff>133350</xdr:rowOff>
                  </from>
                  <to>
                    <xdr:col>14</xdr:col>
                    <xdr:colOff>409575</xdr:colOff>
                    <xdr:row>75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M41"/>
  <sheetViews>
    <sheetView topLeftCell="A46" workbookViewId="0">
      <selection activeCell="J35" sqref="J35"/>
    </sheetView>
  </sheetViews>
  <sheetFormatPr baseColWidth="10" defaultRowHeight="15"/>
  <cols>
    <col min="1" max="1" width="11.42578125" style="5"/>
    <col min="2" max="2" width="23.85546875" style="5" bestFit="1" customWidth="1"/>
    <col min="3" max="3" width="23" style="5" customWidth="1"/>
    <col min="4" max="4" width="21.7109375" style="5" bestFit="1" customWidth="1"/>
    <col min="5" max="5" width="11.42578125" style="5"/>
    <col min="6" max="6" width="16" style="5" customWidth="1"/>
    <col min="7" max="7" width="15.85546875" style="5" customWidth="1"/>
    <col min="8" max="8" width="14.28515625" style="5" customWidth="1"/>
    <col min="9" max="9" width="12" style="5" customWidth="1"/>
    <col min="10" max="10" width="18.42578125" style="5" customWidth="1"/>
    <col min="11" max="11" width="16" style="5" customWidth="1"/>
    <col min="12" max="12" width="13.28515625" style="5" bestFit="1" customWidth="1"/>
    <col min="13" max="16384" width="11.42578125" style="5"/>
  </cols>
  <sheetData>
    <row r="1" spans="2:13" ht="15.75" thickBot="1"/>
    <row r="2" spans="2:13" ht="16.5" thickTop="1" thickBot="1">
      <c r="B2" s="16" t="s">
        <v>267</v>
      </c>
      <c r="C2" s="37"/>
      <c r="E2" s="5" t="str">
        <f>IF(C2="Otro","Especificar","")</f>
        <v/>
      </c>
    </row>
    <row r="3" spans="2:13" ht="15.75" thickTop="1"/>
    <row r="6" spans="2:13" s="17" customFormat="1" ht="45">
      <c r="B6" s="36"/>
      <c r="C6" s="36" t="s">
        <v>455</v>
      </c>
      <c r="D6" s="36" t="s">
        <v>456</v>
      </c>
      <c r="E6" s="36" t="s">
        <v>457</v>
      </c>
      <c r="F6" s="36" t="s">
        <v>458</v>
      </c>
      <c r="G6" s="36" t="s">
        <v>459</v>
      </c>
      <c r="H6" s="36" t="s">
        <v>460</v>
      </c>
      <c r="I6" s="36" t="s">
        <v>479</v>
      </c>
      <c r="J6" s="38" t="s">
        <v>480</v>
      </c>
      <c r="K6" s="36" t="s">
        <v>481</v>
      </c>
      <c r="L6" s="36" t="s">
        <v>364</v>
      </c>
      <c r="M6" s="36" t="s">
        <v>482</v>
      </c>
    </row>
    <row r="7" spans="2:13">
      <c r="B7" s="34" t="s">
        <v>452</v>
      </c>
      <c r="C7" s="34"/>
      <c r="D7" s="34">
        <f>E7+F7</f>
        <v>0</v>
      </c>
      <c r="E7" s="34"/>
      <c r="F7" s="34"/>
      <c r="G7" s="34"/>
      <c r="H7" s="34" t="s">
        <v>266</v>
      </c>
      <c r="I7" s="35"/>
      <c r="J7" s="34"/>
      <c r="K7" s="34"/>
      <c r="L7" s="34"/>
      <c r="M7" s="34"/>
    </row>
    <row r="8" spans="2:13">
      <c r="B8" s="34" t="s">
        <v>451</v>
      </c>
      <c r="C8" s="34"/>
      <c r="D8" s="34">
        <f t="shared" ref="D8:D15" si="0">E8+F8</f>
        <v>0</v>
      </c>
      <c r="E8" s="34"/>
      <c r="F8" s="34"/>
      <c r="G8" s="34"/>
      <c r="H8" s="34"/>
      <c r="I8" s="35"/>
      <c r="J8" s="34"/>
      <c r="K8" s="34"/>
      <c r="L8" s="34"/>
      <c r="M8" s="34"/>
    </row>
    <row r="9" spans="2:13">
      <c r="B9" s="34" t="s">
        <v>453</v>
      </c>
      <c r="C9" s="34"/>
      <c r="D9" s="34">
        <f t="shared" si="0"/>
        <v>0</v>
      </c>
      <c r="E9" s="34"/>
      <c r="F9" s="34"/>
      <c r="G9" s="34"/>
      <c r="H9" s="34"/>
      <c r="I9" s="35"/>
      <c r="J9" s="34"/>
      <c r="K9" s="34"/>
      <c r="L9" s="34"/>
      <c r="M9" s="34"/>
    </row>
    <row r="10" spans="2:13">
      <c r="B10" s="34" t="s">
        <v>454</v>
      </c>
      <c r="C10" s="34"/>
      <c r="D10" s="34">
        <f>D8-D9</f>
        <v>0</v>
      </c>
      <c r="E10" s="34">
        <f t="shared" ref="E10:G10" si="1">E8-E9</f>
        <v>0</v>
      </c>
      <c r="F10" s="34">
        <f t="shared" si="1"/>
        <v>0</v>
      </c>
      <c r="G10" s="34">
        <f t="shared" si="1"/>
        <v>0</v>
      </c>
      <c r="H10" s="34"/>
      <c r="I10" s="35"/>
      <c r="J10" s="34"/>
      <c r="K10" s="34"/>
      <c r="L10" s="34"/>
      <c r="M10" s="34"/>
    </row>
    <row r="11" spans="2:13">
      <c r="B11" s="34" t="s">
        <v>495</v>
      </c>
      <c r="C11" s="34"/>
      <c r="D11" s="34">
        <f t="shared" si="0"/>
        <v>0</v>
      </c>
      <c r="E11" s="34"/>
      <c r="F11" s="34"/>
      <c r="G11" s="34"/>
      <c r="H11" s="34"/>
      <c r="I11" s="35"/>
      <c r="J11" s="34"/>
      <c r="K11" s="34"/>
      <c r="L11" s="34"/>
      <c r="M11" s="34"/>
    </row>
    <row r="12" spans="2:13">
      <c r="B12" s="34" t="s">
        <v>496</v>
      </c>
      <c r="C12" s="34"/>
      <c r="D12" s="34">
        <f t="shared" si="0"/>
        <v>0</v>
      </c>
      <c r="E12" s="34"/>
      <c r="F12" s="34"/>
      <c r="G12" s="34"/>
      <c r="H12" s="34"/>
      <c r="I12" s="35"/>
      <c r="J12" s="34"/>
      <c r="K12" s="34"/>
      <c r="L12" s="34"/>
      <c r="M12" s="34"/>
    </row>
    <row r="13" spans="2:13">
      <c r="B13" s="34" t="s">
        <v>497</v>
      </c>
      <c r="C13" s="34"/>
      <c r="D13" s="34">
        <f t="shared" si="0"/>
        <v>0</v>
      </c>
      <c r="E13" s="34"/>
      <c r="F13" s="34"/>
      <c r="G13" s="34"/>
      <c r="H13" s="34"/>
      <c r="I13" s="35"/>
      <c r="J13" s="34"/>
      <c r="K13" s="34"/>
      <c r="L13" s="34"/>
      <c r="M13" s="34"/>
    </row>
    <row r="14" spans="2:13">
      <c r="B14" s="34" t="s">
        <v>498</v>
      </c>
      <c r="C14" s="34"/>
      <c r="D14" s="34">
        <f t="shared" si="0"/>
        <v>0</v>
      </c>
      <c r="E14" s="34"/>
      <c r="F14" s="34"/>
      <c r="G14" s="34"/>
      <c r="H14" s="34"/>
      <c r="I14" s="35"/>
      <c r="J14" s="34"/>
      <c r="K14" s="34"/>
      <c r="L14" s="34"/>
      <c r="M14" s="34"/>
    </row>
    <row r="15" spans="2:13">
      <c r="B15" s="34" t="s">
        <v>499</v>
      </c>
      <c r="C15" s="34"/>
      <c r="D15" s="34">
        <f t="shared" si="0"/>
        <v>0</v>
      </c>
      <c r="E15" s="34"/>
      <c r="F15" s="34"/>
      <c r="G15" s="34"/>
      <c r="H15" s="34"/>
      <c r="I15" s="35"/>
      <c r="J15" s="34"/>
      <c r="K15" s="34"/>
      <c r="L15" s="34"/>
      <c r="M15" s="34"/>
    </row>
    <row r="22" spans="3:13" ht="31.5" customHeight="1">
      <c r="C22" s="129" t="s">
        <v>489</v>
      </c>
      <c r="D22" s="129" t="s">
        <v>490</v>
      </c>
      <c r="E22" s="129" t="s">
        <v>494</v>
      </c>
      <c r="F22" s="129" t="s">
        <v>491</v>
      </c>
      <c r="G22" s="129" t="s">
        <v>492</v>
      </c>
      <c r="H22" s="126" t="s">
        <v>493</v>
      </c>
      <c r="I22" s="127"/>
      <c r="J22" s="127"/>
      <c r="K22" s="127"/>
      <c r="L22" s="127"/>
      <c r="M22" s="128"/>
    </row>
    <row r="23" spans="3:13" ht="15" customHeight="1">
      <c r="C23" s="130"/>
      <c r="D23" s="130"/>
      <c r="E23" s="130"/>
      <c r="F23" s="130"/>
      <c r="G23" s="130"/>
      <c r="H23" s="19" t="s">
        <v>483</v>
      </c>
      <c r="I23" s="19" t="s">
        <v>484</v>
      </c>
      <c r="J23" s="19" t="s">
        <v>485</v>
      </c>
      <c r="K23" s="19" t="s">
        <v>486</v>
      </c>
      <c r="L23" s="19" t="s">
        <v>487</v>
      </c>
      <c r="M23" s="19" t="s">
        <v>488</v>
      </c>
    </row>
    <row r="24" spans="3:13">
      <c r="C24" s="19" t="s">
        <v>10</v>
      </c>
      <c r="D24" s="19">
        <f>H24+I24+J24+K24+L24+M24</f>
        <v>0</v>
      </c>
      <c r="E24" s="19"/>
      <c r="F24" s="19"/>
      <c r="G24" s="19"/>
      <c r="H24" s="19"/>
      <c r="I24" s="19"/>
      <c r="J24" s="19"/>
      <c r="K24" s="19"/>
      <c r="L24" s="19"/>
      <c r="M24" s="19"/>
    </row>
    <row r="25" spans="3:13">
      <c r="C25" s="19"/>
      <c r="D25" s="19">
        <f t="shared" ref="D25:D26" si="2">H25+I25+J25+K25+L25+M25</f>
        <v>0</v>
      </c>
      <c r="E25" s="19"/>
      <c r="F25" s="19"/>
      <c r="G25" s="19"/>
      <c r="H25" s="19"/>
      <c r="I25" s="19"/>
      <c r="J25" s="19"/>
      <c r="K25" s="19"/>
      <c r="L25" s="19"/>
      <c r="M25" s="19"/>
    </row>
    <row r="26" spans="3:13">
      <c r="C26" s="19"/>
      <c r="D26" s="19">
        <f t="shared" si="2"/>
        <v>0</v>
      </c>
      <c r="E26" s="19"/>
      <c r="F26" s="19"/>
      <c r="G26" s="19"/>
      <c r="H26" s="19"/>
      <c r="I26" s="19"/>
      <c r="J26" s="19"/>
      <c r="K26" s="19"/>
      <c r="L26" s="19"/>
      <c r="M26" s="19"/>
    </row>
    <row r="27" spans="3:13">
      <c r="C27" s="5" t="s">
        <v>456</v>
      </c>
      <c r="D27" s="5">
        <f>SUM(D24:D26)</f>
        <v>0</v>
      </c>
      <c r="E27" s="5">
        <f>SUM(E24:E26)</f>
        <v>0</v>
      </c>
      <c r="H27" s="5">
        <f t="shared" ref="H27:M27" si="3">SUM(H24:H26)</f>
        <v>0</v>
      </c>
      <c r="I27" s="5">
        <f t="shared" si="3"/>
        <v>0</v>
      </c>
      <c r="J27" s="5">
        <f t="shared" si="3"/>
        <v>0</v>
      </c>
      <c r="K27" s="5">
        <f t="shared" si="3"/>
        <v>0</v>
      </c>
      <c r="L27" s="5">
        <f t="shared" si="3"/>
        <v>0</v>
      </c>
      <c r="M27" s="5">
        <f t="shared" si="3"/>
        <v>0</v>
      </c>
    </row>
    <row r="35" spans="2:9" s="17" customFormat="1" ht="30">
      <c r="B35" s="133" t="s">
        <v>501</v>
      </c>
      <c r="C35" s="134"/>
      <c r="D35" s="39" t="s">
        <v>502</v>
      </c>
      <c r="E35" s="131" t="s">
        <v>503</v>
      </c>
      <c r="F35" s="132"/>
      <c r="G35" s="39" t="s">
        <v>511</v>
      </c>
      <c r="H35" s="39" t="s">
        <v>364</v>
      </c>
      <c r="I35" s="39" t="s">
        <v>510</v>
      </c>
    </row>
    <row r="36" spans="2:9">
      <c r="B36" s="103" t="s">
        <v>504</v>
      </c>
      <c r="C36" s="104"/>
      <c r="D36" s="19"/>
      <c r="E36" s="103"/>
      <c r="F36" s="104"/>
      <c r="G36" s="19"/>
      <c r="H36" s="19"/>
      <c r="I36" s="19"/>
    </row>
    <row r="37" spans="2:9">
      <c r="B37" s="103" t="s">
        <v>505</v>
      </c>
      <c r="C37" s="104"/>
      <c r="D37" s="19"/>
      <c r="E37" s="103"/>
      <c r="F37" s="104"/>
      <c r="G37" s="19"/>
      <c r="H37" s="19"/>
      <c r="I37" s="19"/>
    </row>
    <row r="38" spans="2:9">
      <c r="B38" s="103" t="s">
        <v>506</v>
      </c>
      <c r="C38" s="104"/>
      <c r="D38" s="19"/>
      <c r="E38" s="103"/>
      <c r="F38" s="104"/>
      <c r="G38" s="19"/>
      <c r="H38" s="19"/>
      <c r="I38" s="19"/>
    </row>
    <row r="39" spans="2:9">
      <c r="B39" s="103" t="s">
        <v>507</v>
      </c>
      <c r="C39" s="104"/>
      <c r="D39" s="19"/>
      <c r="E39" s="103"/>
      <c r="F39" s="104"/>
      <c r="G39" s="19"/>
      <c r="H39" s="19"/>
      <c r="I39" s="19"/>
    </row>
    <row r="40" spans="2:9">
      <c r="B40" s="103" t="s">
        <v>508</v>
      </c>
      <c r="C40" s="104"/>
      <c r="D40" s="19"/>
      <c r="E40" s="103"/>
      <c r="F40" s="104"/>
      <c r="G40" s="19"/>
      <c r="H40" s="19"/>
      <c r="I40" s="19"/>
    </row>
    <row r="41" spans="2:9">
      <c r="B41" s="103" t="s">
        <v>509</v>
      </c>
      <c r="C41" s="104"/>
      <c r="D41" s="19"/>
      <c r="E41" s="103"/>
      <c r="F41" s="104"/>
      <c r="G41" s="19"/>
      <c r="H41" s="19"/>
      <c r="I41" s="19"/>
    </row>
  </sheetData>
  <mergeCells count="20">
    <mergeCell ref="E35:F35"/>
    <mergeCell ref="B41:C41"/>
    <mergeCell ref="E36:F36"/>
    <mergeCell ref="E37:F37"/>
    <mergeCell ref="E38:F38"/>
    <mergeCell ref="E39:F39"/>
    <mergeCell ref="E40:F40"/>
    <mergeCell ref="E41:F41"/>
    <mergeCell ref="B35:C35"/>
    <mergeCell ref="B36:C36"/>
    <mergeCell ref="B37:C37"/>
    <mergeCell ref="B38:C38"/>
    <mergeCell ref="B39:C39"/>
    <mergeCell ref="B40:C40"/>
    <mergeCell ref="H22:M22"/>
    <mergeCell ref="C22:C23"/>
    <mergeCell ref="D22:D23"/>
    <mergeCell ref="E22:E23"/>
    <mergeCell ref="F22:F23"/>
    <mergeCell ref="G22:G23"/>
  </mergeCells>
  <conditionalFormatting sqref="I7">
    <cfRule type="expression" dxfId="5" priority="5">
      <formula>IF($H$7="otro",TRUE,FALSE)</formula>
    </cfRule>
  </conditionalFormatting>
  <conditionalFormatting sqref="I8">
    <cfRule type="expression" dxfId="4" priority="4">
      <formula>IF($H$8="otro",TRUE,FALSE)</formula>
    </cfRule>
  </conditionalFormatting>
  <conditionalFormatting sqref="I9">
    <cfRule type="expression" dxfId="3" priority="3">
      <formula>IF($H$9="otro",TRUE,FALSE)</formula>
    </cfRule>
  </conditionalFormatting>
  <conditionalFormatting sqref="I11:I15">
    <cfRule type="expression" dxfId="2" priority="2">
      <formula>IF($H$11="otro",TRUE,FALSE)</formula>
    </cfRule>
  </conditionalFormatting>
  <conditionalFormatting sqref="I10">
    <cfRule type="expression" dxfId="1" priority="1">
      <formula>IF($H$10="otro",TRUE,FALSE)</formula>
    </cfRule>
  </conditionalFormatting>
  <dataValidations count="2">
    <dataValidation type="list" allowBlank="1" showInputMessage="1" showErrorMessage="1" sqref="C2">
      <formula1>"Universal, Focalizado, Bajo Demanda, Otro"</formula1>
    </dataValidation>
    <dataValidation type="list" allowBlank="1" showInputMessage="1" showErrorMessage="1" sqref="C24:C26">
      <formula1>Municipios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Botón2_Haga_clic_en">
                <anchor moveWithCells="1" sizeWithCells="1">
                  <from>
                    <xdr:col>13</xdr:col>
                    <xdr:colOff>76200</xdr:colOff>
                    <xdr:row>5</xdr:row>
                    <xdr:rowOff>485775</xdr:rowOff>
                  </from>
                  <to>
                    <xdr:col>14</xdr:col>
                    <xdr:colOff>419100</xdr:colOff>
                    <xdr:row>7</xdr:row>
                    <xdr:rowOff>9525</xdr:rowOff>
                  </to>
                </anchor>
              </controlPr>
            </control>
          </mc:Choice>
        </mc:AlternateContent>
        <mc:AlternateContent xmlns:mc="http://schemas.openxmlformats.org/markup-compatibility/2006">
          <mc:Choice Requires="x14">
            <control shapeId="4100" r:id="rId4" name="Group Box 4">
              <controlPr defaultSize="0" autoFill="0" autoPict="0">
                <anchor moveWithCells="1">
                  <from>
                    <xdr:col>0</xdr:col>
                    <xdr:colOff>571500</xdr:colOff>
                    <xdr:row>4</xdr:row>
                    <xdr:rowOff>19050</xdr:rowOff>
                  </from>
                  <to>
                    <xdr:col>13</xdr:col>
                    <xdr:colOff>476250</xdr:colOff>
                    <xdr:row>17</xdr:row>
                    <xdr:rowOff>76200</xdr:rowOff>
                  </to>
                </anchor>
              </controlPr>
            </control>
          </mc:Choice>
        </mc:AlternateContent>
        <mc:AlternateContent xmlns:mc="http://schemas.openxmlformats.org/markup-compatibility/2006">
          <mc:Choice Requires="x14">
            <control shapeId="4101" r:id="rId5" name="Button 5">
              <controlPr defaultSize="0" print="0" autoFill="0" autoPict="0" macro="[0]!Botón5_Haga_clic_en">
                <anchor moveWithCells="1" sizeWithCells="1">
                  <from>
                    <xdr:col>1</xdr:col>
                    <xdr:colOff>647700</xdr:colOff>
                    <xdr:row>22</xdr:row>
                    <xdr:rowOff>114300</xdr:rowOff>
                  </from>
                  <to>
                    <xdr:col>1</xdr:col>
                    <xdr:colOff>1485900</xdr:colOff>
                    <xdr:row>24</xdr:row>
                    <xdr:rowOff>133350</xdr:rowOff>
                  </to>
                </anchor>
              </controlPr>
            </control>
          </mc:Choice>
        </mc:AlternateContent>
        <mc:AlternateContent xmlns:mc="http://schemas.openxmlformats.org/markup-compatibility/2006">
          <mc:Choice Requires="x14">
            <control shapeId="4103" r:id="rId6" name="Button 7">
              <controlPr defaultSize="0" print="0" autoFill="0" autoPict="0" macro="[0]!Botón7_Haga_clic_en">
                <anchor moveWithCells="1" sizeWithCells="1">
                  <from>
                    <xdr:col>9</xdr:col>
                    <xdr:colOff>19050</xdr:colOff>
                    <xdr:row>5</xdr:row>
                    <xdr:rowOff>314325</xdr:rowOff>
                  </from>
                  <to>
                    <xdr:col>10</xdr:col>
                    <xdr:colOff>47625</xdr:colOff>
                    <xdr:row>5</xdr:row>
                    <xdr:rowOff>552450</xdr:rowOff>
                  </to>
                </anchor>
              </controlPr>
            </control>
          </mc:Choice>
        </mc:AlternateContent>
        <mc:AlternateContent xmlns:mc="http://schemas.openxmlformats.org/markup-compatibility/2006">
          <mc:Choice Requires="x14">
            <control shapeId="4104" r:id="rId7" name="Group Box 8">
              <controlPr defaultSize="0" autoFill="0" autoPict="0">
                <anchor moveWithCells="1">
                  <from>
                    <xdr:col>1</xdr:col>
                    <xdr:colOff>152400</xdr:colOff>
                    <xdr:row>19</xdr:row>
                    <xdr:rowOff>133350</xdr:rowOff>
                  </from>
                  <to>
                    <xdr:col>13</xdr:col>
                    <xdr:colOff>133350</xdr:colOff>
                    <xdr:row>29</xdr:row>
                    <xdr:rowOff>66675</xdr:rowOff>
                  </to>
                </anchor>
              </controlPr>
            </control>
          </mc:Choice>
        </mc:AlternateContent>
        <mc:AlternateContent xmlns:mc="http://schemas.openxmlformats.org/markup-compatibility/2006">
          <mc:Choice Requires="x14">
            <control shapeId="4105" r:id="rId8" name="Group Box 9">
              <controlPr defaultSize="0" autoFill="0" autoPict="0">
                <anchor moveWithCells="1">
                  <from>
                    <xdr:col>0</xdr:col>
                    <xdr:colOff>571500</xdr:colOff>
                    <xdr:row>32</xdr:row>
                    <xdr:rowOff>171450</xdr:rowOff>
                  </from>
                  <to>
                    <xdr:col>9</xdr:col>
                    <xdr:colOff>800100</xdr:colOff>
                    <xdr:row>41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Listas!$H$39:$H$57</xm:f>
          </x14:formula1>
          <xm:sqref>H7:H15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L102"/>
  <sheetViews>
    <sheetView workbookViewId="0">
      <selection activeCell="D27" sqref="D27"/>
    </sheetView>
  </sheetViews>
  <sheetFormatPr baseColWidth="10" defaultRowHeight="15"/>
  <cols>
    <col min="1" max="1" width="17" style="49" customWidth="1"/>
    <col min="2" max="2" width="46" style="49" customWidth="1"/>
    <col min="3" max="3" width="52.42578125" style="49" customWidth="1"/>
    <col min="4" max="4" width="56.85546875" style="49" customWidth="1"/>
    <col min="5" max="5" width="33.85546875" style="49" customWidth="1"/>
    <col min="6" max="6" width="36" style="49" customWidth="1"/>
    <col min="7" max="7" width="23.85546875" style="49" customWidth="1"/>
    <col min="8" max="9" width="40.85546875" style="49" customWidth="1"/>
    <col min="10" max="16384" width="11.42578125" style="49"/>
  </cols>
  <sheetData>
    <row r="1" spans="1:13" ht="15.75">
      <c r="A1" s="48" t="s">
        <v>798</v>
      </c>
    </row>
    <row r="2" spans="1:13">
      <c r="A2" s="50"/>
    </row>
    <row r="3" spans="1:13">
      <c r="A3" s="49" t="s">
        <v>799</v>
      </c>
    </row>
    <row r="4" spans="1:13">
      <c r="A4" s="50"/>
    </row>
    <row r="5" spans="1:13">
      <c r="A5" s="50"/>
    </row>
    <row r="6" spans="1:13">
      <c r="A6" s="50"/>
    </row>
    <row r="7" spans="1:13">
      <c r="A7" s="50"/>
    </row>
    <row r="8" spans="1:13">
      <c r="A8" s="50"/>
      <c r="C8" s="49" t="s">
        <v>800</v>
      </c>
    </row>
    <row r="9" spans="1:13">
      <c r="A9" s="50"/>
    </row>
    <row r="10" spans="1:13">
      <c r="A10" s="50"/>
    </row>
    <row r="11" spans="1:13">
      <c r="A11" s="50"/>
    </row>
    <row r="12" spans="1:13">
      <c r="A12" s="50"/>
    </row>
    <row r="13" spans="1:13">
      <c r="A13" s="50"/>
    </row>
    <row r="14" spans="1:13">
      <c r="A14" s="50"/>
    </row>
    <row r="15" spans="1:13">
      <c r="A15" s="50"/>
      <c r="B15" s="51"/>
      <c r="C15" s="51"/>
      <c r="D15" s="51"/>
      <c r="E15" s="51"/>
      <c r="F15" s="51"/>
      <c r="G15" s="51"/>
      <c r="H15" s="51"/>
      <c r="I15" s="51"/>
      <c r="J15" s="51"/>
      <c r="K15" s="51"/>
      <c r="L15" s="51"/>
      <c r="M15" s="51"/>
    </row>
    <row r="16" spans="1:13">
      <c r="A16" s="51"/>
      <c r="B16" s="51"/>
      <c r="C16" s="51"/>
      <c r="D16" s="51"/>
      <c r="E16" s="51"/>
      <c r="F16" s="51"/>
      <c r="G16" s="51"/>
      <c r="H16" s="51"/>
      <c r="I16" s="51"/>
      <c r="J16" s="51"/>
      <c r="K16" s="51"/>
      <c r="L16" s="51"/>
      <c r="M16" s="51"/>
    </row>
    <row r="17" spans="1:23">
      <c r="D17" s="49" t="s">
        <v>801</v>
      </c>
      <c r="E17" s="51"/>
      <c r="F17" s="51"/>
      <c r="G17" s="51"/>
      <c r="H17" s="51"/>
      <c r="I17" s="51"/>
      <c r="J17" s="51"/>
      <c r="K17" s="51"/>
      <c r="L17" s="51"/>
      <c r="M17" s="51"/>
    </row>
    <row r="18" spans="1:23">
      <c r="D18" s="52" t="s">
        <v>802</v>
      </c>
      <c r="E18" s="51"/>
      <c r="F18" s="51"/>
      <c r="G18" s="51"/>
      <c r="H18" s="51"/>
      <c r="I18" s="51"/>
      <c r="J18" s="51"/>
      <c r="K18" s="51"/>
      <c r="L18" s="51"/>
      <c r="M18" s="51"/>
    </row>
    <row r="19" spans="1:23">
      <c r="D19" s="51"/>
      <c r="E19" s="51"/>
      <c r="F19" s="51"/>
      <c r="G19" s="51"/>
      <c r="H19" s="51"/>
      <c r="I19" s="51"/>
      <c r="J19" s="51"/>
      <c r="K19" s="51"/>
      <c r="L19" s="51"/>
      <c r="M19" s="51"/>
    </row>
    <row r="20" spans="1:23">
      <c r="D20" s="51"/>
      <c r="E20" s="51"/>
      <c r="F20" s="51"/>
      <c r="G20" s="51"/>
      <c r="H20" s="51"/>
      <c r="I20" s="51"/>
      <c r="J20" s="51"/>
      <c r="K20" s="51"/>
      <c r="L20" s="51"/>
      <c r="M20" s="51"/>
    </row>
    <row r="21" spans="1:23">
      <c r="A21" s="49" t="s">
        <v>803</v>
      </c>
      <c r="D21" s="51"/>
      <c r="E21" s="51"/>
      <c r="F21" s="51"/>
      <c r="G21" s="51"/>
      <c r="H21" s="51"/>
      <c r="I21" s="51"/>
      <c r="J21" s="51"/>
      <c r="K21" s="51"/>
      <c r="L21" s="51"/>
      <c r="M21" s="51"/>
    </row>
    <row r="22" spans="1:23" ht="15.75" thickBot="1">
      <c r="A22" s="49" t="s">
        <v>804</v>
      </c>
      <c r="B22" s="53"/>
      <c r="C22" s="51"/>
      <c r="D22" s="51"/>
      <c r="E22" s="51"/>
      <c r="F22" s="51"/>
      <c r="G22" s="51"/>
      <c r="H22" s="51"/>
      <c r="I22" s="51"/>
      <c r="J22" s="51"/>
      <c r="K22" s="51"/>
      <c r="L22" s="51"/>
      <c r="M22" s="51"/>
    </row>
    <row r="23" spans="1:23" ht="15.75" thickBot="1">
      <c r="A23" s="54" t="s">
        <v>805</v>
      </c>
      <c r="B23" s="55" t="s">
        <v>806</v>
      </c>
      <c r="C23" s="54" t="s">
        <v>807</v>
      </c>
      <c r="D23" s="51"/>
      <c r="E23" s="51"/>
      <c r="F23" s="51"/>
      <c r="G23" s="51"/>
      <c r="H23" s="51"/>
      <c r="I23" s="51"/>
      <c r="J23" s="51"/>
      <c r="K23" s="51"/>
      <c r="L23" s="51"/>
      <c r="M23" s="51"/>
    </row>
    <row r="24" spans="1:23" ht="15.75" thickBot="1">
      <c r="A24" s="54" t="s">
        <v>808</v>
      </c>
      <c r="B24" s="55" t="s">
        <v>809</v>
      </c>
      <c r="C24" s="54" t="s">
        <v>807</v>
      </c>
      <c r="D24" s="51"/>
      <c r="E24" s="51"/>
      <c r="F24" s="51"/>
      <c r="G24" s="51"/>
      <c r="H24" s="51"/>
      <c r="I24" s="51"/>
      <c r="J24" s="51"/>
      <c r="K24" s="51"/>
      <c r="L24" s="51"/>
      <c r="M24" s="51"/>
    </row>
    <row r="25" spans="1:23" ht="45.75" thickBot="1">
      <c r="A25" s="56" t="s">
        <v>810</v>
      </c>
      <c r="B25" s="55" t="s">
        <v>811</v>
      </c>
      <c r="C25" s="54" t="s">
        <v>812</v>
      </c>
      <c r="D25" s="51"/>
      <c r="E25" s="51"/>
      <c r="F25" s="51"/>
      <c r="G25" s="51"/>
      <c r="H25" s="51"/>
      <c r="I25" s="51"/>
      <c r="J25" s="51"/>
      <c r="K25" s="51"/>
      <c r="L25" s="51"/>
      <c r="M25" s="51"/>
    </row>
    <row r="26" spans="1:23" ht="15.75" thickBot="1">
      <c r="A26" s="54" t="s">
        <v>813</v>
      </c>
      <c r="B26" s="55" t="s">
        <v>814</v>
      </c>
      <c r="C26" s="54" t="s">
        <v>815</v>
      </c>
      <c r="D26" s="51"/>
      <c r="E26" s="51"/>
      <c r="F26" s="51"/>
      <c r="G26" s="51"/>
      <c r="H26" s="51"/>
      <c r="I26" s="51"/>
      <c r="J26" s="51"/>
      <c r="K26" s="51"/>
      <c r="L26" s="51"/>
      <c r="M26" s="51"/>
    </row>
    <row r="27" spans="1:23" ht="30.75" thickBot="1">
      <c r="A27" s="54" t="s">
        <v>816</v>
      </c>
      <c r="B27" s="55" t="s">
        <v>817</v>
      </c>
      <c r="C27" s="57" t="s">
        <v>818</v>
      </c>
      <c r="D27" s="51"/>
      <c r="E27" s="51"/>
      <c r="F27" s="51"/>
      <c r="G27" s="51"/>
      <c r="H27" s="51"/>
      <c r="I27" s="51"/>
      <c r="J27" s="51"/>
      <c r="K27" s="51"/>
      <c r="L27" s="51"/>
      <c r="M27" s="51"/>
    </row>
    <row r="28" spans="1:23" ht="30.75" thickBot="1">
      <c r="A28" s="56" t="s">
        <v>819</v>
      </c>
      <c r="B28" s="55" t="s">
        <v>820</v>
      </c>
      <c r="C28" s="54" t="s">
        <v>807</v>
      </c>
      <c r="D28" s="51"/>
      <c r="E28" s="51"/>
      <c r="F28" s="51"/>
      <c r="G28" s="51"/>
      <c r="H28" s="51"/>
      <c r="I28" s="51"/>
      <c r="J28" s="51"/>
      <c r="K28" s="51"/>
      <c r="L28" s="51"/>
      <c r="M28" s="51"/>
    </row>
    <row r="29" spans="1:23" ht="60.75" thickBot="1">
      <c r="A29" s="58" t="s">
        <v>821</v>
      </c>
      <c r="B29" s="55" t="s">
        <v>822</v>
      </c>
      <c r="C29" s="56" t="s">
        <v>823</v>
      </c>
      <c r="D29" s="51"/>
      <c r="E29" s="51"/>
      <c r="F29" s="51"/>
      <c r="G29" s="51"/>
      <c r="H29" s="51"/>
      <c r="I29" s="51"/>
      <c r="J29" s="51"/>
      <c r="K29" s="51"/>
      <c r="L29" s="51"/>
      <c r="M29" s="51"/>
    </row>
    <row r="30" spans="1:23" ht="30.75" thickBot="1">
      <c r="A30" s="51" t="s">
        <v>824</v>
      </c>
      <c r="B30" s="55"/>
      <c r="C30" s="56" t="s">
        <v>825</v>
      </c>
      <c r="D30" s="51"/>
      <c r="E30" s="51"/>
      <c r="F30" s="51"/>
      <c r="G30" s="51"/>
      <c r="H30" s="51"/>
      <c r="I30" s="51"/>
      <c r="J30" s="51"/>
      <c r="K30" s="51"/>
      <c r="L30" s="51"/>
      <c r="M30" s="51"/>
    </row>
    <row r="31" spans="1:23">
      <c r="D31" s="51"/>
      <c r="E31" s="51"/>
      <c r="F31" s="51"/>
      <c r="G31" s="51"/>
      <c r="H31" s="51"/>
      <c r="I31" s="59"/>
      <c r="J31" s="59"/>
      <c r="K31" s="59"/>
      <c r="L31" s="59"/>
      <c r="M31" s="59"/>
      <c r="N31" s="59"/>
      <c r="O31" s="59"/>
      <c r="P31" s="59"/>
      <c r="Q31" s="59"/>
      <c r="R31" s="59"/>
      <c r="S31" s="59"/>
      <c r="T31" s="59"/>
      <c r="U31" s="59"/>
      <c r="V31" s="59"/>
      <c r="W31" s="59"/>
    </row>
    <row r="32" spans="1:23" ht="15.75" thickBot="1"/>
    <row r="33" spans="1:38" ht="15.75" thickBot="1">
      <c r="A33" s="59"/>
      <c r="B33" s="60" t="s">
        <v>826</v>
      </c>
      <c r="C33" s="61" t="s">
        <v>827</v>
      </c>
      <c r="D33" s="62" t="s">
        <v>828</v>
      </c>
      <c r="E33" s="60" t="s">
        <v>829</v>
      </c>
      <c r="F33" s="60" t="s">
        <v>511</v>
      </c>
      <c r="G33" s="60" t="s">
        <v>830</v>
      </c>
    </row>
    <row r="34" spans="1:38" ht="180.75" thickBot="1">
      <c r="A34" s="63" t="s">
        <v>831</v>
      </c>
      <c r="B34" s="64" t="s">
        <v>832</v>
      </c>
      <c r="C34" s="65" t="s">
        <v>833</v>
      </c>
      <c r="D34" s="66" t="s">
        <v>834</v>
      </c>
      <c r="E34" s="67"/>
      <c r="F34" s="68" t="s">
        <v>835</v>
      </c>
      <c r="G34" s="69" t="s">
        <v>836</v>
      </c>
      <c r="H34" s="51"/>
      <c r="I34" s="51"/>
      <c r="J34" s="51"/>
      <c r="K34" s="51"/>
      <c r="L34" s="51"/>
      <c r="M34" s="51"/>
    </row>
    <row r="35" spans="1:38" ht="120.75" thickBot="1">
      <c r="A35" s="63" t="s">
        <v>423</v>
      </c>
      <c r="B35" s="69" t="s">
        <v>837</v>
      </c>
      <c r="C35" s="70" t="s">
        <v>838</v>
      </c>
      <c r="D35" s="71" t="s">
        <v>839</v>
      </c>
      <c r="E35" s="67"/>
      <c r="F35" s="68" t="s">
        <v>835</v>
      </c>
      <c r="G35" s="72"/>
      <c r="H35" s="51"/>
      <c r="I35" s="51"/>
      <c r="J35" s="51"/>
      <c r="K35" s="51"/>
      <c r="L35" s="51"/>
      <c r="M35" s="51"/>
    </row>
    <row r="36" spans="1:38" ht="150.75" thickBot="1">
      <c r="A36" s="63" t="s">
        <v>840</v>
      </c>
      <c r="B36" s="69" t="s">
        <v>841</v>
      </c>
      <c r="C36" s="70" t="s">
        <v>842</v>
      </c>
      <c r="D36" s="71" t="s">
        <v>843</v>
      </c>
      <c r="E36" s="67"/>
      <c r="F36" s="68" t="s">
        <v>835</v>
      </c>
      <c r="G36" s="72"/>
      <c r="H36" s="51"/>
      <c r="I36" s="51"/>
      <c r="J36" s="51"/>
      <c r="K36" s="51"/>
      <c r="L36" s="51"/>
      <c r="M36" s="51"/>
    </row>
    <row r="37" spans="1:38" ht="135.75" thickBot="1">
      <c r="A37" s="63" t="s">
        <v>844</v>
      </c>
      <c r="B37" s="69" t="s">
        <v>845</v>
      </c>
      <c r="C37" s="70" t="s">
        <v>846</v>
      </c>
      <c r="D37" s="71" t="s">
        <v>847</v>
      </c>
      <c r="E37" s="67"/>
      <c r="F37" s="68" t="s">
        <v>835</v>
      </c>
      <c r="G37" s="72"/>
      <c r="H37" s="51"/>
      <c r="I37" s="51"/>
      <c r="J37" s="51"/>
      <c r="K37" s="51"/>
      <c r="L37" s="51"/>
      <c r="M37" s="51"/>
    </row>
    <row r="38" spans="1:38">
      <c r="A38" s="56"/>
      <c r="B38" s="51"/>
      <c r="C38" s="73"/>
      <c r="D38" s="73"/>
      <c r="E38" s="73"/>
      <c r="F38" s="73"/>
      <c r="G38" s="51"/>
      <c r="H38" s="51"/>
      <c r="I38" s="51"/>
      <c r="J38" s="51"/>
      <c r="K38" s="51"/>
      <c r="L38" s="51"/>
      <c r="M38" s="51"/>
    </row>
    <row r="39" spans="1:38">
      <c r="A39" s="73"/>
      <c r="B39" s="51"/>
      <c r="C39" s="73"/>
      <c r="D39" s="73"/>
      <c r="E39" s="73"/>
      <c r="F39" s="73"/>
      <c r="G39" s="51"/>
      <c r="H39" s="51"/>
      <c r="I39" s="51"/>
      <c r="J39" s="51"/>
      <c r="K39" s="51"/>
      <c r="L39" s="51"/>
      <c r="M39" s="51"/>
    </row>
    <row r="40" spans="1:38">
      <c r="D40" s="51"/>
      <c r="E40" s="51"/>
      <c r="F40" s="51"/>
      <c r="G40" s="51"/>
      <c r="H40" s="51"/>
      <c r="I40" s="59" t="s">
        <v>848</v>
      </c>
      <c r="J40" s="59" t="s">
        <v>849</v>
      </c>
      <c r="K40" s="59" t="s">
        <v>850</v>
      </c>
      <c r="L40" s="59" t="s">
        <v>851</v>
      </c>
      <c r="M40" s="59" t="s">
        <v>852</v>
      </c>
      <c r="N40" s="59"/>
      <c r="O40" s="59" t="s">
        <v>853</v>
      </c>
      <c r="P40" s="59" t="s">
        <v>854</v>
      </c>
      <c r="Q40" s="59"/>
      <c r="R40" s="59"/>
      <c r="S40" s="59"/>
      <c r="T40" s="59"/>
      <c r="U40" s="59"/>
      <c r="V40" s="59"/>
      <c r="W40" s="59"/>
    </row>
    <row r="41" spans="1:38">
      <c r="D41" s="51"/>
      <c r="E41" s="51"/>
      <c r="F41" s="51"/>
      <c r="G41" s="51"/>
      <c r="H41" s="51"/>
      <c r="I41" s="59" t="s">
        <v>855</v>
      </c>
      <c r="J41" s="59" t="s">
        <v>844</v>
      </c>
      <c r="K41" s="59" t="s">
        <v>856</v>
      </c>
      <c r="L41" s="59" t="s">
        <v>857</v>
      </c>
      <c r="M41" s="59" t="s">
        <v>858</v>
      </c>
      <c r="N41" s="59"/>
      <c r="O41" s="59" t="s">
        <v>859</v>
      </c>
      <c r="P41" s="59" t="s">
        <v>860</v>
      </c>
      <c r="Q41" s="59"/>
      <c r="R41" s="59"/>
      <c r="S41" s="59"/>
      <c r="T41" s="59"/>
      <c r="U41" s="59"/>
      <c r="V41" s="59"/>
      <c r="W41" s="59"/>
    </row>
    <row r="42" spans="1:38">
      <c r="A42" s="63" t="s">
        <v>829</v>
      </c>
      <c r="B42" s="56"/>
      <c r="C42" s="56"/>
      <c r="D42" s="51"/>
      <c r="E42" s="51"/>
      <c r="F42" s="51"/>
      <c r="G42" s="51"/>
      <c r="H42" s="51"/>
      <c r="I42" s="59" t="s">
        <v>861</v>
      </c>
      <c r="J42" s="59" t="s">
        <v>862</v>
      </c>
      <c r="K42" s="59" t="s">
        <v>863</v>
      </c>
      <c r="L42" s="59" t="s">
        <v>864</v>
      </c>
      <c r="M42" s="59" t="s">
        <v>865</v>
      </c>
      <c r="N42" s="59"/>
      <c r="O42" s="59" t="s">
        <v>866</v>
      </c>
      <c r="P42" s="59" t="s">
        <v>867</v>
      </c>
      <c r="Q42" s="59"/>
      <c r="R42" s="59"/>
      <c r="S42" s="59"/>
      <c r="T42" s="59"/>
      <c r="U42" s="59"/>
      <c r="V42" s="59"/>
      <c r="W42" s="59"/>
    </row>
    <row r="43" spans="1:38" ht="15.75" thickBot="1">
      <c r="A43" s="135" t="s">
        <v>868</v>
      </c>
      <c r="B43" s="135"/>
      <c r="C43" s="135"/>
      <c r="D43" s="54"/>
      <c r="E43" s="58"/>
      <c r="F43" s="58"/>
      <c r="G43" s="58"/>
      <c r="H43" s="58"/>
      <c r="I43" s="74"/>
      <c r="J43" s="74" t="s">
        <v>869</v>
      </c>
      <c r="K43" s="74" t="s">
        <v>870</v>
      </c>
      <c r="L43" s="74"/>
      <c r="M43" s="59" t="s">
        <v>871</v>
      </c>
      <c r="N43" s="74"/>
      <c r="O43" s="59" t="s">
        <v>872</v>
      </c>
      <c r="P43" s="59" t="s">
        <v>873</v>
      </c>
      <c r="Q43" s="74"/>
      <c r="R43" s="74"/>
      <c r="S43" s="74"/>
      <c r="T43" s="74"/>
      <c r="U43" s="74"/>
      <c r="V43" s="74"/>
      <c r="W43" s="74"/>
      <c r="X43" s="58"/>
      <c r="Y43" s="58"/>
      <c r="Z43" s="58"/>
      <c r="AA43" s="58"/>
      <c r="AB43" s="58"/>
      <c r="AC43" s="58"/>
      <c r="AD43" s="58"/>
      <c r="AE43" s="58"/>
      <c r="AF43" s="58"/>
      <c r="AG43" s="58"/>
      <c r="AH43" s="58"/>
      <c r="AI43" s="58"/>
      <c r="AJ43" s="58"/>
      <c r="AK43" s="58"/>
      <c r="AL43" s="58"/>
    </row>
    <row r="44" spans="1:38" ht="30.75" thickBot="1">
      <c r="A44" s="56" t="s">
        <v>874</v>
      </c>
      <c r="B44" s="55"/>
      <c r="C44" s="56" t="s">
        <v>875</v>
      </c>
      <c r="D44" s="54"/>
      <c r="E44" s="58"/>
      <c r="F44" s="58"/>
      <c r="G44" s="58"/>
      <c r="H44" s="58"/>
      <c r="I44" s="74"/>
      <c r="J44" s="74" t="s">
        <v>876</v>
      </c>
      <c r="K44" s="74"/>
      <c r="L44" s="74"/>
      <c r="M44" s="59" t="s">
        <v>877</v>
      </c>
      <c r="N44" s="74"/>
      <c r="O44" s="59" t="s">
        <v>878</v>
      </c>
      <c r="P44" s="59" t="s">
        <v>879</v>
      </c>
      <c r="Q44" s="74"/>
      <c r="R44" s="74"/>
      <c r="S44" s="74"/>
      <c r="T44" s="74"/>
      <c r="U44" s="74"/>
      <c r="V44" s="74"/>
      <c r="W44" s="74"/>
      <c r="X44" s="58"/>
      <c r="Y44" s="58"/>
      <c r="Z44" s="58"/>
      <c r="AA44" s="58"/>
      <c r="AB44" s="58"/>
      <c r="AC44" s="58"/>
      <c r="AD44" s="58"/>
      <c r="AE44" s="58"/>
      <c r="AF44" s="58"/>
      <c r="AG44" s="58"/>
      <c r="AH44" s="58"/>
      <c r="AI44" s="58"/>
      <c r="AJ44" s="58"/>
      <c r="AK44" s="58"/>
      <c r="AL44" s="58"/>
    </row>
    <row r="45" spans="1:38" ht="15.75" thickBot="1">
      <c r="A45" s="56" t="s">
        <v>880</v>
      </c>
      <c r="B45" s="55"/>
      <c r="C45" s="56" t="s">
        <v>875</v>
      </c>
      <c r="D45" s="54"/>
      <c r="E45" s="58"/>
      <c r="F45" s="58"/>
      <c r="G45" s="58"/>
      <c r="H45" s="58"/>
      <c r="I45" s="74" t="s">
        <v>881</v>
      </c>
      <c r="J45" s="74"/>
      <c r="K45" s="74"/>
      <c r="L45" s="74"/>
      <c r="M45" s="59" t="s">
        <v>882</v>
      </c>
      <c r="N45" s="74"/>
      <c r="O45" s="59" t="s">
        <v>883</v>
      </c>
      <c r="P45" s="59" t="s">
        <v>884</v>
      </c>
      <c r="Q45" s="74"/>
      <c r="R45" s="74"/>
      <c r="S45" s="74"/>
      <c r="T45" s="74"/>
      <c r="U45" s="74"/>
      <c r="V45" s="74"/>
      <c r="W45" s="74"/>
      <c r="X45" s="58"/>
      <c r="Y45" s="58"/>
      <c r="Z45" s="58"/>
      <c r="AA45" s="58"/>
      <c r="AB45" s="58"/>
      <c r="AC45" s="58"/>
      <c r="AD45" s="58"/>
      <c r="AE45" s="58"/>
      <c r="AF45" s="58"/>
      <c r="AG45" s="58"/>
      <c r="AH45" s="58"/>
      <c r="AI45" s="58"/>
      <c r="AJ45" s="58"/>
      <c r="AK45" s="58"/>
      <c r="AL45" s="58"/>
    </row>
    <row r="46" spans="1:38" ht="15.75" thickBot="1">
      <c r="A46" s="56" t="s">
        <v>885</v>
      </c>
      <c r="B46" s="55"/>
      <c r="C46" s="56" t="s">
        <v>886</v>
      </c>
      <c r="D46" s="56"/>
      <c r="E46" s="58"/>
      <c r="F46" s="58"/>
      <c r="G46" s="58"/>
      <c r="H46" s="58"/>
      <c r="I46" s="74" t="s">
        <v>887</v>
      </c>
      <c r="J46" s="74"/>
      <c r="K46" s="74"/>
      <c r="L46" s="74"/>
      <c r="M46" s="59" t="s">
        <v>888</v>
      </c>
      <c r="N46" s="74"/>
      <c r="O46" s="59" t="s">
        <v>889</v>
      </c>
      <c r="P46" s="74"/>
      <c r="Q46" s="74"/>
      <c r="R46" s="74"/>
      <c r="S46" s="74"/>
      <c r="T46" s="74"/>
      <c r="U46" s="74"/>
      <c r="V46" s="74"/>
      <c r="W46" s="74"/>
      <c r="X46" s="58"/>
      <c r="Y46" s="58"/>
      <c r="Z46" s="58"/>
      <c r="AA46" s="58"/>
      <c r="AB46" s="58"/>
      <c r="AC46" s="58"/>
      <c r="AD46" s="58"/>
      <c r="AE46" s="58"/>
      <c r="AF46" s="58"/>
      <c r="AG46" s="58"/>
      <c r="AH46" s="58"/>
      <c r="AI46" s="58"/>
      <c r="AJ46" s="58"/>
      <c r="AK46" s="58"/>
      <c r="AL46" s="58"/>
    </row>
    <row r="47" spans="1:38" ht="45.75" thickBot="1">
      <c r="A47" s="56" t="s">
        <v>890</v>
      </c>
      <c r="B47" s="55"/>
      <c r="C47" s="56" t="s">
        <v>891</v>
      </c>
      <c r="D47" s="56"/>
      <c r="E47" s="58"/>
      <c r="F47" s="58"/>
      <c r="G47" s="58"/>
      <c r="H47" s="58"/>
      <c r="I47" s="74"/>
      <c r="J47" s="74"/>
      <c r="K47" s="74"/>
      <c r="L47" s="74"/>
      <c r="M47" s="59" t="s">
        <v>892</v>
      </c>
      <c r="N47" s="74"/>
      <c r="O47" s="59" t="s">
        <v>893</v>
      </c>
      <c r="P47" s="74"/>
      <c r="Q47" s="74"/>
      <c r="R47" s="74"/>
      <c r="S47" s="74"/>
      <c r="T47" s="74"/>
      <c r="U47" s="74"/>
      <c r="V47" s="74"/>
      <c r="W47" s="74"/>
      <c r="X47" s="58"/>
      <c r="Y47" s="58"/>
      <c r="Z47" s="58"/>
      <c r="AA47" s="58"/>
      <c r="AB47" s="58"/>
      <c r="AC47" s="58"/>
      <c r="AD47" s="58"/>
      <c r="AE47" s="58"/>
      <c r="AF47" s="58"/>
      <c r="AG47" s="58"/>
      <c r="AH47" s="58"/>
      <c r="AI47" s="58"/>
      <c r="AJ47" s="58"/>
      <c r="AK47" s="58"/>
      <c r="AL47" s="58"/>
    </row>
    <row r="48" spans="1:38" ht="30.75" thickBot="1">
      <c r="A48" s="56" t="s">
        <v>894</v>
      </c>
      <c r="B48" s="55"/>
      <c r="C48" s="56" t="s">
        <v>886</v>
      </c>
      <c r="D48" s="56"/>
      <c r="E48" s="58"/>
      <c r="F48" s="58"/>
      <c r="G48" s="58"/>
      <c r="H48" s="58"/>
      <c r="I48" s="74"/>
      <c r="J48" s="74"/>
      <c r="K48" s="74"/>
      <c r="L48" s="74"/>
      <c r="M48" s="59" t="s">
        <v>895</v>
      </c>
      <c r="N48" s="74"/>
      <c r="O48" s="59" t="s">
        <v>896</v>
      </c>
      <c r="P48" s="74"/>
      <c r="Q48" s="74"/>
      <c r="R48" s="74"/>
      <c r="S48" s="74"/>
      <c r="T48" s="74"/>
      <c r="U48" s="74"/>
      <c r="V48" s="74"/>
      <c r="W48" s="74"/>
      <c r="X48" s="58"/>
      <c r="Y48" s="58"/>
      <c r="Z48" s="58"/>
      <c r="AA48" s="58"/>
      <c r="AB48" s="58"/>
      <c r="AC48" s="58"/>
      <c r="AD48" s="58"/>
      <c r="AE48" s="58"/>
      <c r="AF48" s="58"/>
      <c r="AG48" s="58"/>
      <c r="AH48" s="58"/>
      <c r="AI48" s="58"/>
      <c r="AJ48" s="58"/>
      <c r="AK48" s="58"/>
      <c r="AL48" s="58"/>
    </row>
    <row r="49" spans="1:38" ht="15.75" thickBot="1">
      <c r="A49" s="56" t="s">
        <v>897</v>
      </c>
      <c r="B49" s="55"/>
      <c r="C49" s="56" t="s">
        <v>886</v>
      </c>
      <c r="D49" s="56"/>
      <c r="E49" s="58"/>
      <c r="F49" s="58"/>
      <c r="G49" s="58"/>
      <c r="H49" s="58"/>
      <c r="I49" s="74"/>
      <c r="J49" s="74"/>
      <c r="K49" s="74"/>
      <c r="L49" s="74"/>
      <c r="M49" s="59"/>
      <c r="N49" s="74"/>
      <c r="O49" s="59" t="s">
        <v>898</v>
      </c>
      <c r="P49" s="74"/>
      <c r="Q49" s="74"/>
      <c r="R49" s="74"/>
      <c r="S49" s="74"/>
      <c r="T49" s="74"/>
      <c r="U49" s="74"/>
      <c r="V49" s="74"/>
      <c r="W49" s="74"/>
      <c r="X49" s="58"/>
      <c r="Y49" s="58"/>
      <c r="Z49" s="58"/>
      <c r="AA49" s="58"/>
      <c r="AB49" s="58"/>
      <c r="AC49" s="58"/>
      <c r="AD49" s="58"/>
      <c r="AE49" s="58"/>
      <c r="AF49" s="58"/>
      <c r="AG49" s="58"/>
      <c r="AH49" s="58"/>
      <c r="AI49" s="58"/>
      <c r="AJ49" s="58"/>
      <c r="AK49" s="58"/>
      <c r="AL49" s="58"/>
    </row>
    <row r="50" spans="1:38" ht="15.75" thickBot="1">
      <c r="A50" s="56" t="s">
        <v>899</v>
      </c>
      <c r="B50" s="55"/>
      <c r="C50" s="56" t="s">
        <v>886</v>
      </c>
      <c r="D50" s="56"/>
      <c r="E50" s="51"/>
      <c r="F50" s="51"/>
      <c r="G50" s="51"/>
      <c r="H50" s="51"/>
      <c r="I50" s="59"/>
      <c r="J50" s="59"/>
      <c r="K50" s="59"/>
      <c r="L50" s="59"/>
      <c r="N50" s="59"/>
      <c r="O50" s="59" t="s">
        <v>900</v>
      </c>
      <c r="P50" s="59"/>
      <c r="Q50" s="59"/>
      <c r="R50" s="59"/>
      <c r="S50" s="59"/>
      <c r="T50" s="59"/>
      <c r="U50" s="59"/>
      <c r="V50" s="59"/>
      <c r="W50" s="59"/>
    </row>
    <row r="51" spans="1:38" ht="30.75" thickBot="1">
      <c r="A51" s="56" t="s">
        <v>901</v>
      </c>
      <c r="B51" s="55"/>
      <c r="C51" s="56" t="s">
        <v>886</v>
      </c>
      <c r="D51" s="56"/>
      <c r="E51" s="51"/>
      <c r="F51" s="51"/>
      <c r="G51" s="51"/>
      <c r="H51" s="51"/>
      <c r="I51" s="59"/>
      <c r="J51" s="59"/>
      <c r="K51" s="59"/>
      <c r="L51" s="59"/>
      <c r="N51" s="59"/>
      <c r="O51" s="59" t="s">
        <v>902</v>
      </c>
      <c r="P51" s="59"/>
      <c r="Q51" s="59"/>
      <c r="R51" s="59"/>
      <c r="S51" s="59"/>
      <c r="T51" s="59"/>
      <c r="U51" s="59"/>
      <c r="V51" s="59"/>
      <c r="W51" s="59"/>
    </row>
    <row r="52" spans="1:38" ht="60.75" thickBot="1">
      <c r="A52" s="56" t="s">
        <v>903</v>
      </c>
      <c r="B52" s="55"/>
      <c r="C52" s="56" t="s">
        <v>886</v>
      </c>
      <c r="D52" s="56"/>
      <c r="E52" s="51"/>
      <c r="F52" s="51"/>
      <c r="G52" s="51"/>
      <c r="H52" s="51"/>
      <c r="I52" s="59"/>
      <c r="J52" s="59"/>
      <c r="K52" s="59"/>
      <c r="L52" s="59"/>
      <c r="M52" s="59"/>
      <c r="N52" s="59"/>
      <c r="O52" s="59" t="s">
        <v>904</v>
      </c>
      <c r="P52" s="59"/>
      <c r="Q52" s="59"/>
      <c r="R52" s="59"/>
      <c r="S52" s="59"/>
      <c r="T52" s="59"/>
      <c r="U52" s="59"/>
      <c r="V52" s="59"/>
      <c r="W52" s="59"/>
    </row>
    <row r="53" spans="1:38" ht="15.75" thickBot="1">
      <c r="A53" s="56" t="s">
        <v>905</v>
      </c>
      <c r="B53" s="55"/>
      <c r="C53" s="56" t="s">
        <v>875</v>
      </c>
      <c r="D53" s="56"/>
      <c r="E53" s="51"/>
      <c r="F53" s="51"/>
      <c r="G53" s="51"/>
      <c r="H53" s="51"/>
      <c r="I53" s="59"/>
      <c r="J53" s="59"/>
      <c r="K53" s="59"/>
      <c r="L53" s="59"/>
      <c r="M53" s="59"/>
      <c r="N53" s="59"/>
      <c r="O53" s="59" t="s">
        <v>266</v>
      </c>
      <c r="P53" s="59"/>
      <c r="Q53" s="59"/>
      <c r="R53" s="59"/>
      <c r="S53" s="59"/>
      <c r="T53" s="59"/>
      <c r="U53" s="59"/>
      <c r="V53" s="59"/>
      <c r="W53" s="59"/>
    </row>
    <row r="54" spans="1:38" ht="15.75" thickBot="1">
      <c r="A54" s="135" t="s">
        <v>906</v>
      </c>
      <c r="B54" s="135"/>
      <c r="C54" s="135"/>
      <c r="D54" s="54" t="s">
        <v>907</v>
      </c>
      <c r="E54" s="51"/>
      <c r="F54" s="51"/>
      <c r="G54" s="51"/>
      <c r="H54" s="51"/>
      <c r="I54" s="59"/>
      <c r="J54" s="59"/>
      <c r="K54" s="59"/>
      <c r="L54" s="59"/>
      <c r="M54" s="59"/>
      <c r="N54" s="59"/>
      <c r="P54" s="59"/>
      <c r="Q54" s="59"/>
      <c r="R54" s="59"/>
      <c r="S54" s="59"/>
      <c r="T54" s="59"/>
      <c r="U54" s="59"/>
      <c r="V54" s="59"/>
      <c r="W54" s="59"/>
    </row>
    <row r="55" spans="1:38" ht="15.75" thickBot="1">
      <c r="A55" s="136" t="s">
        <v>908</v>
      </c>
      <c r="B55" s="75" t="s">
        <v>269</v>
      </c>
      <c r="C55" s="76"/>
      <c r="D55" s="77" t="s">
        <v>875</v>
      </c>
      <c r="E55" s="51"/>
      <c r="F55" s="51"/>
      <c r="G55" s="51"/>
      <c r="H55" s="51"/>
      <c r="I55" s="59"/>
      <c r="J55" s="59"/>
      <c r="K55" s="59"/>
      <c r="L55" s="59"/>
      <c r="M55" s="59"/>
      <c r="N55" s="59"/>
      <c r="P55" s="59"/>
      <c r="Q55" s="59"/>
      <c r="R55" s="59"/>
      <c r="S55" s="59"/>
      <c r="T55" s="59"/>
      <c r="U55" s="59"/>
      <c r="V55" s="59"/>
      <c r="W55" s="59"/>
    </row>
    <row r="56" spans="1:38" ht="15.75" thickBot="1">
      <c r="A56" s="137"/>
      <c r="B56" s="78" t="s">
        <v>909</v>
      </c>
      <c r="C56" s="76"/>
      <c r="D56" s="77" t="s">
        <v>875</v>
      </c>
      <c r="I56" s="59"/>
      <c r="J56" s="59"/>
      <c r="K56" s="59"/>
      <c r="L56" s="59"/>
      <c r="M56" s="59"/>
      <c r="N56" s="59"/>
      <c r="P56" s="59"/>
      <c r="Q56" s="59"/>
      <c r="R56" s="59"/>
      <c r="S56" s="59"/>
      <c r="T56" s="59"/>
      <c r="U56" s="59"/>
      <c r="V56" s="59"/>
      <c r="W56" s="59"/>
    </row>
    <row r="57" spans="1:38" ht="15.75" thickBot="1">
      <c r="A57" s="137"/>
      <c r="B57" s="77" t="s">
        <v>910</v>
      </c>
      <c r="C57" s="79"/>
      <c r="D57" s="77" t="s">
        <v>911</v>
      </c>
      <c r="I57" s="59"/>
      <c r="J57" s="59"/>
      <c r="K57" s="59"/>
      <c r="L57" s="59"/>
      <c r="M57" s="59"/>
      <c r="N57" s="59"/>
      <c r="O57" s="59"/>
      <c r="P57" s="59"/>
      <c r="Q57" s="59"/>
      <c r="R57" s="59"/>
      <c r="S57" s="59"/>
      <c r="T57" s="59"/>
      <c r="U57" s="59"/>
      <c r="V57" s="59"/>
      <c r="W57" s="59"/>
    </row>
    <row r="58" spans="1:38" ht="15.75" thickBot="1">
      <c r="A58" s="137"/>
      <c r="B58" s="77" t="s">
        <v>912</v>
      </c>
      <c r="C58" s="79"/>
      <c r="D58" s="77" t="s">
        <v>913</v>
      </c>
      <c r="I58" s="59"/>
      <c r="J58" s="59"/>
      <c r="K58" s="59"/>
      <c r="L58" s="59"/>
      <c r="M58" s="59"/>
      <c r="N58" s="59"/>
      <c r="O58" s="59"/>
      <c r="P58" s="59"/>
      <c r="Q58" s="59"/>
      <c r="R58" s="59"/>
      <c r="S58" s="59"/>
      <c r="T58" s="59"/>
      <c r="U58" s="59"/>
      <c r="V58" s="59"/>
      <c r="W58" s="59"/>
    </row>
    <row r="59" spans="1:38" ht="15.75" thickBot="1">
      <c r="A59" s="137"/>
      <c r="B59" s="77" t="s">
        <v>511</v>
      </c>
      <c r="C59" s="79"/>
      <c r="D59" s="77" t="s">
        <v>914</v>
      </c>
      <c r="I59" s="59"/>
      <c r="J59" s="59"/>
      <c r="K59" s="59"/>
      <c r="L59" s="59"/>
      <c r="M59" s="59"/>
      <c r="N59" s="59"/>
      <c r="O59" s="59"/>
      <c r="P59" s="59"/>
      <c r="Q59" s="59"/>
      <c r="R59" s="59"/>
      <c r="S59" s="59"/>
      <c r="T59" s="59"/>
      <c r="U59" s="59"/>
      <c r="V59" s="59"/>
      <c r="W59" s="59"/>
    </row>
    <row r="60" spans="1:38" ht="15.75" thickBot="1">
      <c r="A60" s="137"/>
      <c r="B60" s="80" t="s">
        <v>915</v>
      </c>
      <c r="C60" s="55"/>
      <c r="D60" s="56" t="s">
        <v>886</v>
      </c>
      <c r="I60" s="59"/>
      <c r="J60" s="59"/>
      <c r="K60" s="59"/>
      <c r="L60" s="59"/>
      <c r="M60" s="59"/>
      <c r="N60" s="59"/>
      <c r="O60" s="59"/>
      <c r="P60" s="59"/>
      <c r="Q60" s="59"/>
      <c r="R60" s="59"/>
      <c r="S60" s="59"/>
      <c r="T60" s="59"/>
      <c r="U60" s="59"/>
      <c r="V60" s="59"/>
      <c r="W60" s="59"/>
    </row>
    <row r="61" spans="1:38" ht="15.75" thickBot="1">
      <c r="A61" s="137"/>
      <c r="B61" s="80" t="s">
        <v>916</v>
      </c>
      <c r="C61" s="55"/>
      <c r="D61" s="56" t="s">
        <v>886</v>
      </c>
      <c r="I61" s="59"/>
      <c r="J61" s="59"/>
      <c r="K61" s="59"/>
      <c r="L61" s="59"/>
      <c r="M61" s="59"/>
      <c r="N61" s="59"/>
      <c r="O61" s="59"/>
      <c r="P61" s="59"/>
      <c r="Q61" s="59"/>
      <c r="R61" s="59"/>
      <c r="S61" s="59"/>
      <c r="T61" s="59"/>
      <c r="U61" s="59"/>
      <c r="V61" s="59"/>
      <c r="W61" s="59"/>
    </row>
    <row r="62" spans="1:38" ht="15.75" thickBot="1">
      <c r="A62" s="137"/>
      <c r="B62" s="80" t="s">
        <v>917</v>
      </c>
      <c r="C62" s="55"/>
      <c r="D62" s="56" t="s">
        <v>886</v>
      </c>
      <c r="I62" s="59"/>
      <c r="J62" s="59"/>
      <c r="K62" s="59"/>
      <c r="L62" s="59"/>
      <c r="M62" s="59"/>
      <c r="N62" s="59"/>
      <c r="O62" s="59"/>
      <c r="P62" s="59"/>
      <c r="Q62" s="59"/>
      <c r="R62" s="59"/>
      <c r="S62" s="59"/>
      <c r="T62" s="59"/>
      <c r="U62" s="59"/>
      <c r="V62" s="59"/>
      <c r="W62" s="59"/>
    </row>
    <row r="63" spans="1:38" ht="15.75" thickBot="1">
      <c r="A63" s="137"/>
      <c r="B63" s="80" t="s">
        <v>918</v>
      </c>
      <c r="C63" s="79"/>
      <c r="D63" s="56" t="s">
        <v>875</v>
      </c>
      <c r="I63" s="59"/>
      <c r="J63" s="59"/>
      <c r="K63" s="59"/>
      <c r="L63" s="59"/>
      <c r="M63" s="59"/>
      <c r="N63" s="59"/>
      <c r="O63" s="59"/>
      <c r="P63" s="59"/>
      <c r="Q63" s="59"/>
      <c r="R63" s="59"/>
      <c r="S63" s="59"/>
      <c r="T63" s="59"/>
      <c r="U63" s="59"/>
      <c r="V63" s="59"/>
      <c r="W63" s="59"/>
    </row>
    <row r="64" spans="1:38" ht="30.75" thickBot="1">
      <c r="A64" s="137"/>
      <c r="B64" s="80" t="s">
        <v>919</v>
      </c>
      <c r="C64" s="79"/>
      <c r="D64" s="56" t="s">
        <v>875</v>
      </c>
      <c r="I64" s="59"/>
      <c r="J64" s="59"/>
      <c r="K64" s="59"/>
      <c r="L64" s="59"/>
      <c r="M64" s="59"/>
      <c r="N64" s="59"/>
      <c r="O64" s="59"/>
      <c r="P64" s="59"/>
      <c r="Q64" s="59"/>
      <c r="R64" s="59"/>
      <c r="S64" s="59"/>
      <c r="T64" s="59"/>
      <c r="U64" s="59"/>
      <c r="V64" s="59"/>
      <c r="W64" s="59"/>
    </row>
    <row r="65" spans="1:4" ht="15.75" thickBot="1">
      <c r="A65" s="137"/>
      <c r="B65" s="80" t="s">
        <v>920</v>
      </c>
      <c r="C65" s="79"/>
      <c r="D65" s="56" t="s">
        <v>921</v>
      </c>
    </row>
    <row r="66" spans="1:4" ht="15.75" thickBot="1">
      <c r="A66" s="138"/>
      <c r="B66" s="81" t="s">
        <v>922</v>
      </c>
      <c r="C66" s="76"/>
      <c r="D66" s="54" t="s">
        <v>923</v>
      </c>
    </row>
    <row r="67" spans="1:4" ht="15.75" thickBot="1">
      <c r="A67" s="136" t="s">
        <v>924</v>
      </c>
      <c r="B67" s="75" t="s">
        <v>269</v>
      </c>
      <c r="C67" s="76"/>
      <c r="D67" s="77" t="s">
        <v>875</v>
      </c>
    </row>
    <row r="68" spans="1:4" ht="15.75" thickBot="1">
      <c r="A68" s="137"/>
      <c r="B68" s="78" t="s">
        <v>909</v>
      </c>
      <c r="C68" s="76"/>
      <c r="D68" s="77" t="s">
        <v>875</v>
      </c>
    </row>
    <row r="69" spans="1:4" ht="15.75" thickBot="1">
      <c r="A69" s="137"/>
      <c r="B69" s="77" t="s">
        <v>910</v>
      </c>
      <c r="C69" s="79"/>
      <c r="D69" s="77" t="s">
        <v>911</v>
      </c>
    </row>
    <row r="70" spans="1:4" ht="15.75" thickBot="1">
      <c r="A70" s="137"/>
      <c r="B70" s="77" t="s">
        <v>912</v>
      </c>
      <c r="C70" s="79"/>
      <c r="D70" s="77" t="s">
        <v>913</v>
      </c>
    </row>
    <row r="71" spans="1:4" ht="15.75" thickBot="1">
      <c r="A71" s="137"/>
      <c r="B71" s="77" t="s">
        <v>511</v>
      </c>
      <c r="C71" s="79"/>
      <c r="D71" s="77" t="s">
        <v>914</v>
      </c>
    </row>
    <row r="72" spans="1:4" ht="15.75" thickBot="1">
      <c r="A72" s="137"/>
      <c r="B72" s="80" t="s">
        <v>915</v>
      </c>
      <c r="C72" s="55"/>
      <c r="D72" s="56" t="s">
        <v>886</v>
      </c>
    </row>
    <row r="73" spans="1:4" ht="15.75" thickBot="1">
      <c r="A73" s="137"/>
      <c r="B73" s="80" t="s">
        <v>916</v>
      </c>
      <c r="C73" s="55"/>
      <c r="D73" s="56" t="s">
        <v>886</v>
      </c>
    </row>
    <row r="74" spans="1:4" ht="15.75" thickBot="1">
      <c r="A74" s="137"/>
      <c r="B74" s="80" t="s">
        <v>917</v>
      </c>
      <c r="C74" s="55"/>
      <c r="D74" s="56" t="s">
        <v>886</v>
      </c>
    </row>
    <row r="75" spans="1:4" ht="15.75" thickBot="1">
      <c r="A75" s="137"/>
      <c r="B75" s="80" t="s">
        <v>918</v>
      </c>
      <c r="C75" s="79"/>
      <c r="D75" s="56" t="s">
        <v>875</v>
      </c>
    </row>
    <row r="76" spans="1:4" ht="30.75" thickBot="1">
      <c r="A76" s="137"/>
      <c r="B76" s="80" t="s">
        <v>919</v>
      </c>
      <c r="C76" s="79"/>
      <c r="D76" s="56" t="s">
        <v>875</v>
      </c>
    </row>
    <row r="77" spans="1:4" ht="15.75" thickBot="1">
      <c r="A77" s="137"/>
      <c r="B77" s="80" t="s">
        <v>920</v>
      </c>
      <c r="C77" s="79"/>
      <c r="D77" s="56" t="s">
        <v>921</v>
      </c>
    </row>
    <row r="78" spans="1:4" ht="15.75" thickBot="1">
      <c r="A78" s="138"/>
      <c r="B78" s="81" t="s">
        <v>922</v>
      </c>
      <c r="C78" s="76"/>
      <c r="D78" s="54" t="s">
        <v>923</v>
      </c>
    </row>
    <row r="79" spans="1:4" ht="15.75" thickBot="1">
      <c r="A79" s="136" t="s">
        <v>925</v>
      </c>
      <c r="B79" s="75" t="s">
        <v>269</v>
      </c>
      <c r="C79" s="76"/>
      <c r="D79" s="77" t="s">
        <v>875</v>
      </c>
    </row>
    <row r="80" spans="1:4" ht="15.75" thickBot="1">
      <c r="A80" s="137"/>
      <c r="B80" s="78" t="s">
        <v>909</v>
      </c>
      <c r="C80" s="76"/>
      <c r="D80" s="77" t="s">
        <v>875</v>
      </c>
    </row>
    <row r="81" spans="1:4" ht="15.75" thickBot="1">
      <c r="A81" s="137"/>
      <c r="B81" s="77" t="s">
        <v>910</v>
      </c>
      <c r="C81" s="79"/>
      <c r="D81" s="77" t="s">
        <v>911</v>
      </c>
    </row>
    <row r="82" spans="1:4" ht="15.75" thickBot="1">
      <c r="A82" s="137"/>
      <c r="B82" s="77" t="s">
        <v>912</v>
      </c>
      <c r="C82" s="79"/>
      <c r="D82" s="77" t="s">
        <v>913</v>
      </c>
    </row>
    <row r="83" spans="1:4" ht="15.75" thickBot="1">
      <c r="A83" s="137"/>
      <c r="B83" s="77" t="s">
        <v>511</v>
      </c>
      <c r="C83" s="79"/>
      <c r="D83" s="77" t="s">
        <v>914</v>
      </c>
    </row>
    <row r="84" spans="1:4" ht="15.75" thickBot="1">
      <c r="A84" s="137"/>
      <c r="B84" s="80" t="s">
        <v>915</v>
      </c>
      <c r="C84" s="55"/>
      <c r="D84" s="56" t="s">
        <v>886</v>
      </c>
    </row>
    <row r="85" spans="1:4" ht="15.75" thickBot="1">
      <c r="A85" s="137"/>
      <c r="B85" s="80" t="s">
        <v>916</v>
      </c>
      <c r="C85" s="55"/>
      <c r="D85" s="56" t="s">
        <v>886</v>
      </c>
    </row>
    <row r="86" spans="1:4" ht="15.75" thickBot="1">
      <c r="A86" s="137"/>
      <c r="B86" s="80" t="s">
        <v>917</v>
      </c>
      <c r="C86" s="55"/>
      <c r="D86" s="56" t="s">
        <v>886</v>
      </c>
    </row>
    <row r="87" spans="1:4" ht="15.75" thickBot="1">
      <c r="A87" s="137"/>
      <c r="B87" s="80" t="s">
        <v>918</v>
      </c>
      <c r="C87" s="79"/>
      <c r="D87" s="56" t="s">
        <v>875</v>
      </c>
    </row>
    <row r="88" spans="1:4" ht="30.75" thickBot="1">
      <c r="A88" s="137"/>
      <c r="B88" s="80" t="s">
        <v>919</v>
      </c>
      <c r="C88" s="79"/>
      <c r="D88" s="56" t="s">
        <v>875</v>
      </c>
    </row>
    <row r="89" spans="1:4" ht="15.75" thickBot="1">
      <c r="A89" s="137"/>
      <c r="B89" s="80" t="s">
        <v>920</v>
      </c>
      <c r="C89" s="79"/>
      <c r="D89" s="56" t="s">
        <v>921</v>
      </c>
    </row>
    <row r="90" spans="1:4" ht="15.75" thickBot="1">
      <c r="A90" s="138"/>
      <c r="B90" s="81" t="s">
        <v>922</v>
      </c>
      <c r="C90" s="76"/>
      <c r="D90" s="54" t="s">
        <v>923</v>
      </c>
    </row>
    <row r="91" spans="1:4">
      <c r="A91" s="49" t="s">
        <v>926</v>
      </c>
    </row>
    <row r="92" spans="1:4" ht="15.75" thickBot="1">
      <c r="A92" s="135" t="s">
        <v>927</v>
      </c>
      <c r="B92" s="135"/>
      <c r="C92" s="135"/>
    </row>
    <row r="93" spans="1:4" ht="15.75" thickBot="1">
      <c r="A93" s="49" t="s">
        <v>928</v>
      </c>
      <c r="B93" s="79"/>
      <c r="C93" s="57" t="s">
        <v>929</v>
      </c>
    </row>
    <row r="94" spans="1:4" ht="15.75" thickBot="1">
      <c r="A94" s="49" t="s">
        <v>930</v>
      </c>
      <c r="B94" s="79"/>
      <c r="C94" s="57" t="s">
        <v>931</v>
      </c>
    </row>
    <row r="95" spans="1:4" ht="15.75" thickBot="1">
      <c r="A95" s="49" t="s">
        <v>932</v>
      </c>
      <c r="B95" s="79"/>
      <c r="C95" s="57" t="s">
        <v>931</v>
      </c>
    </row>
    <row r="96" spans="1:4" ht="15.75" thickBot="1">
      <c r="A96" s="49" t="s">
        <v>933</v>
      </c>
      <c r="B96" s="79"/>
      <c r="C96" s="57" t="s">
        <v>931</v>
      </c>
    </row>
    <row r="97" spans="1:6">
      <c r="A97" s="135" t="s">
        <v>934</v>
      </c>
      <c r="B97" s="135"/>
      <c r="C97" s="135"/>
      <c r="D97" s="135"/>
      <c r="E97" s="135"/>
      <c r="F97" s="135"/>
    </row>
    <row r="98" spans="1:6" ht="15.75" thickBot="1">
      <c r="B98" s="82">
        <v>2020</v>
      </c>
      <c r="C98" s="82">
        <v>2021</v>
      </c>
      <c r="D98" s="82">
        <v>2022</v>
      </c>
      <c r="E98" s="82">
        <v>2023</v>
      </c>
      <c r="F98" s="82">
        <v>2024</v>
      </c>
    </row>
    <row r="99" spans="1:6" ht="15.75" thickBot="1">
      <c r="A99" s="49" t="s">
        <v>928</v>
      </c>
      <c r="B99" s="83" t="s">
        <v>935</v>
      </c>
      <c r="C99" s="83" t="s">
        <v>935</v>
      </c>
      <c r="D99" s="83" t="s">
        <v>935</v>
      </c>
      <c r="E99" s="83" t="s">
        <v>935</v>
      </c>
      <c r="F99" s="83" t="s">
        <v>935</v>
      </c>
    </row>
    <row r="100" spans="1:6" ht="15.75" thickBot="1">
      <c r="A100" s="49" t="s">
        <v>930</v>
      </c>
      <c r="B100" s="79" t="s">
        <v>931</v>
      </c>
      <c r="C100" s="79" t="s">
        <v>931</v>
      </c>
      <c r="D100" s="79" t="s">
        <v>931</v>
      </c>
      <c r="E100" s="79" t="s">
        <v>931</v>
      </c>
      <c r="F100" s="79" t="s">
        <v>931</v>
      </c>
    </row>
    <row r="101" spans="1:6" ht="15.75" thickBot="1">
      <c r="A101" s="49" t="s">
        <v>932</v>
      </c>
      <c r="B101" s="79" t="s">
        <v>931</v>
      </c>
      <c r="C101" s="79" t="s">
        <v>931</v>
      </c>
      <c r="D101" s="79" t="s">
        <v>931</v>
      </c>
      <c r="E101" s="79" t="s">
        <v>931</v>
      </c>
      <c r="F101" s="79" t="s">
        <v>931</v>
      </c>
    </row>
    <row r="102" spans="1:6" ht="15.75" thickBot="1">
      <c r="A102" s="49" t="s">
        <v>933</v>
      </c>
      <c r="B102" s="79" t="s">
        <v>931</v>
      </c>
      <c r="C102" s="79" t="s">
        <v>931</v>
      </c>
      <c r="D102" s="79" t="s">
        <v>931</v>
      </c>
      <c r="E102" s="79" t="s">
        <v>931</v>
      </c>
      <c r="F102" s="79" t="s">
        <v>931</v>
      </c>
    </row>
  </sheetData>
  <mergeCells count="7">
    <mergeCell ref="A97:F97"/>
    <mergeCell ref="A43:C43"/>
    <mergeCell ref="A54:C54"/>
    <mergeCell ref="A55:A66"/>
    <mergeCell ref="A67:A78"/>
    <mergeCell ref="A79:A90"/>
    <mergeCell ref="A92:C92"/>
  </mergeCells>
  <dataValidations count="8">
    <dataValidation type="list" allowBlank="1" showInputMessage="1" showErrorMessage="1" sqref="C62 C74 C86">
      <formula1>$P$40:$P$45</formula1>
    </dataValidation>
    <dataValidation type="list" allowBlank="1" showInputMessage="1" showErrorMessage="1" sqref="B48">
      <formula1>$O$40:$O$53</formula1>
    </dataValidation>
    <dataValidation type="list" allowBlank="1" showInputMessage="1" showErrorMessage="1" sqref="B46">
      <formula1>$M$40:$M$48</formula1>
    </dataValidation>
    <dataValidation type="list" allowBlank="1" showInputMessage="1" showErrorMessage="1" sqref="C61 C73 C85">
      <formula1>$I$45:$I$46</formula1>
    </dataValidation>
    <dataValidation type="list" allowBlank="1" showInputMessage="1" showErrorMessage="1" sqref="C60 C72 C84">
      <formula1>$I$40:$I$42</formula1>
    </dataValidation>
    <dataValidation type="list" allowBlank="1" showInputMessage="1" showErrorMessage="1" sqref="B51">
      <formula1>$J$40:$J$44</formula1>
    </dataValidation>
    <dataValidation type="list" allowBlank="1" showInputMessage="1" showErrorMessage="1" sqref="B50">
      <formula1>$K$40:$K$43</formula1>
    </dataValidation>
    <dataValidation type="list" allowBlank="1" showInputMessage="1" showErrorMessage="1" sqref="B49">
      <formula1>$L$40:$L$42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otón7_Haga_clic_en">
                <anchor moveWithCells="1" sizeWithCells="1">
                  <from>
                    <xdr:col>0</xdr:col>
                    <xdr:colOff>200025</xdr:colOff>
                    <xdr:row>15</xdr:row>
                    <xdr:rowOff>180975</xdr:rowOff>
                  </from>
                  <to>
                    <xdr:col>1</xdr:col>
                    <xdr:colOff>723900</xdr:colOff>
                    <xdr:row>18</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Botón7_Haga_clic_en">
                <anchor moveWithCells="1" sizeWithCells="1">
                  <from>
                    <xdr:col>1</xdr:col>
                    <xdr:colOff>1095375</xdr:colOff>
                    <xdr:row>16</xdr:row>
                    <xdr:rowOff>0</xdr:rowOff>
                  </from>
                  <to>
                    <xdr:col>1</xdr:col>
                    <xdr:colOff>2124075</xdr:colOff>
                    <xdr:row>18</xdr:row>
                    <xdr:rowOff>38100</xdr:rowOff>
                  </to>
                </anchor>
              </controlPr>
            </control>
          </mc:Choice>
        </mc:AlternateContent>
        <mc:AlternateContent xmlns:mc="http://schemas.openxmlformats.org/markup-compatibility/2006">
          <mc:Choice Requires="x14">
            <control shapeId="8195" r:id="rId6" name="Button 3">
              <controlPr defaultSize="0" print="0" autoFill="0" autoPict="0" macro="[0]!Botón7_Haga_clic_en">
                <anchor moveWithCells="1" sizeWithCells="1">
                  <from>
                    <xdr:col>1</xdr:col>
                    <xdr:colOff>2543175</xdr:colOff>
                    <xdr:row>15</xdr:row>
                    <xdr:rowOff>180975</xdr:rowOff>
                  </from>
                  <to>
                    <xdr:col>2</xdr:col>
                    <xdr:colOff>504825</xdr:colOff>
                    <xdr:row>18</xdr:row>
                    <xdr:rowOff>28575</xdr:rowOff>
                  </to>
                </anchor>
              </controlPr>
            </control>
          </mc:Choice>
        </mc:AlternateContent>
        <mc:AlternateContent xmlns:mc="http://schemas.openxmlformats.org/markup-compatibility/2006">
          <mc:Choice Requires="x14">
            <control shapeId="8196" r:id="rId7" name="Button 4">
              <controlPr defaultSize="0" print="0" autoFill="0" autoPict="0" macro="[0]!Botón7_Haga_clic_en">
                <anchor moveWithCells="1" sizeWithCells="1">
                  <from>
                    <xdr:col>2</xdr:col>
                    <xdr:colOff>981075</xdr:colOff>
                    <xdr:row>15</xdr:row>
                    <xdr:rowOff>180975</xdr:rowOff>
                  </from>
                  <to>
                    <xdr:col>2</xdr:col>
                    <xdr:colOff>2009775</xdr:colOff>
                    <xdr:row>18</xdr:row>
                    <xdr:rowOff>28575</xdr:rowOff>
                  </to>
                </anchor>
              </controlPr>
            </control>
          </mc:Choice>
        </mc:AlternateContent>
        <mc:AlternateContent xmlns:mc="http://schemas.openxmlformats.org/markup-compatibility/2006">
          <mc:Choice Requires="x14">
            <control shapeId="8197" r:id="rId8" name="Button 5">
              <controlPr defaultSize="0" print="0" autoFill="0" autoPict="0" macro="[0]!Botón7_Haga_clic_en">
                <anchor moveWithCells="1" sizeWithCells="1">
                  <from>
                    <xdr:col>2</xdr:col>
                    <xdr:colOff>2476500</xdr:colOff>
                    <xdr:row>15</xdr:row>
                    <xdr:rowOff>171450</xdr:rowOff>
                  </from>
                  <to>
                    <xdr:col>2</xdr:col>
                    <xdr:colOff>3438525</xdr:colOff>
                    <xdr:row>18</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67"/>
  <sheetViews>
    <sheetView workbookViewId="0">
      <selection activeCell="L11" sqref="L11"/>
    </sheetView>
  </sheetViews>
  <sheetFormatPr baseColWidth="10" defaultRowHeight="15"/>
  <cols>
    <col min="1" max="1" width="14" style="5" bestFit="1" customWidth="1"/>
    <col min="2" max="2" width="17.140625" style="5" customWidth="1"/>
    <col min="3" max="3" width="17.28515625" style="5" bestFit="1" customWidth="1"/>
    <col min="4" max="7" width="14" style="5" bestFit="1" customWidth="1"/>
    <col min="8" max="16384" width="11.42578125" style="5"/>
  </cols>
  <sheetData>
    <row r="1" spans="2:8">
      <c r="B1" s="126"/>
      <c r="C1" s="128"/>
      <c r="D1" s="19" t="s">
        <v>420</v>
      </c>
      <c r="E1" s="19" t="s">
        <v>421</v>
      </c>
      <c r="F1" s="19" t="s">
        <v>422</v>
      </c>
      <c r="G1" s="19" t="s">
        <v>525</v>
      </c>
      <c r="H1" s="19" t="s">
        <v>456</v>
      </c>
    </row>
    <row r="2" spans="2:8">
      <c r="B2" s="145" t="s">
        <v>530</v>
      </c>
      <c r="C2" s="146"/>
      <c r="D2" s="19"/>
      <c r="E2" s="19"/>
      <c r="F2" s="19"/>
      <c r="G2" s="19"/>
      <c r="H2" s="147"/>
    </row>
    <row r="3" spans="2:8">
      <c r="B3" s="145" t="s">
        <v>518</v>
      </c>
      <c r="C3" s="146"/>
      <c r="D3" s="19"/>
      <c r="E3" s="19"/>
      <c r="F3" s="19"/>
      <c r="G3" s="19"/>
      <c r="H3" s="147"/>
    </row>
    <row r="4" spans="2:8">
      <c r="B4" s="139" t="s">
        <v>519</v>
      </c>
      <c r="C4" s="40">
        <v>1000</v>
      </c>
      <c r="D4" s="41">
        <v>0</v>
      </c>
      <c r="E4" s="41">
        <v>0</v>
      </c>
      <c r="F4" s="41">
        <v>0</v>
      </c>
      <c r="G4" s="41">
        <v>0</v>
      </c>
      <c r="H4" s="41">
        <f>SUM(D4:G4)</f>
        <v>0</v>
      </c>
    </row>
    <row r="5" spans="2:8">
      <c r="B5" s="140"/>
      <c r="C5" s="40">
        <v>2000</v>
      </c>
      <c r="D5" s="41">
        <v>0</v>
      </c>
      <c r="E5" s="41">
        <v>0</v>
      </c>
      <c r="F5" s="41">
        <v>0</v>
      </c>
      <c r="G5" s="41">
        <v>0</v>
      </c>
      <c r="H5" s="41">
        <f t="shared" ref="H5:H15" si="0">SUM(D5:G5)</f>
        <v>0</v>
      </c>
    </row>
    <row r="6" spans="2:8">
      <c r="B6" s="140"/>
      <c r="C6" s="40">
        <v>3000</v>
      </c>
      <c r="D6" s="41">
        <v>0</v>
      </c>
      <c r="E6" s="41">
        <v>0</v>
      </c>
      <c r="F6" s="41">
        <v>0</v>
      </c>
      <c r="G6" s="41">
        <v>0</v>
      </c>
      <c r="H6" s="41">
        <f t="shared" si="0"/>
        <v>0</v>
      </c>
    </row>
    <row r="7" spans="2:8">
      <c r="B7" s="140"/>
      <c r="C7" s="40">
        <v>4000</v>
      </c>
      <c r="D7" s="41">
        <v>0</v>
      </c>
      <c r="E7" s="41">
        <v>0</v>
      </c>
      <c r="F7" s="41">
        <v>0</v>
      </c>
      <c r="G7" s="41">
        <v>0</v>
      </c>
      <c r="H7" s="41">
        <f t="shared" si="0"/>
        <v>0</v>
      </c>
    </row>
    <row r="8" spans="2:8">
      <c r="B8" s="140"/>
      <c r="C8" s="40">
        <v>5000</v>
      </c>
      <c r="D8" s="41">
        <v>0</v>
      </c>
      <c r="E8" s="41">
        <v>0</v>
      </c>
      <c r="F8" s="41">
        <v>0</v>
      </c>
      <c r="G8" s="41">
        <v>0</v>
      </c>
      <c r="H8" s="41">
        <f t="shared" si="0"/>
        <v>0</v>
      </c>
    </row>
    <row r="9" spans="2:8">
      <c r="B9" s="140"/>
      <c r="C9" s="40">
        <v>6000</v>
      </c>
      <c r="D9" s="41">
        <v>0</v>
      </c>
      <c r="E9" s="41">
        <v>0</v>
      </c>
      <c r="F9" s="41">
        <v>0</v>
      </c>
      <c r="G9" s="41">
        <v>0</v>
      </c>
      <c r="H9" s="41">
        <f t="shared" si="0"/>
        <v>0</v>
      </c>
    </row>
    <row r="10" spans="2:8">
      <c r="B10" s="141"/>
      <c r="C10" s="42" t="s">
        <v>456</v>
      </c>
      <c r="D10" s="43">
        <f>SUM(D4:D9)</f>
        <v>0</v>
      </c>
      <c r="E10" s="43">
        <f t="shared" ref="E10:G10" si="1">SUM(E4:E9)</f>
        <v>0</v>
      </c>
      <c r="F10" s="43">
        <f t="shared" si="1"/>
        <v>0</v>
      </c>
      <c r="G10" s="43">
        <f t="shared" si="1"/>
        <v>0</v>
      </c>
      <c r="H10" s="43">
        <f t="shared" si="0"/>
        <v>0</v>
      </c>
    </row>
    <row r="11" spans="2:8" ht="15" customHeight="1">
      <c r="B11" s="142" t="s">
        <v>520</v>
      </c>
      <c r="C11" s="40" t="s">
        <v>521</v>
      </c>
      <c r="D11" s="41">
        <v>0</v>
      </c>
      <c r="E11" s="41">
        <v>0</v>
      </c>
      <c r="F11" s="41">
        <v>0</v>
      </c>
      <c r="G11" s="41">
        <v>0</v>
      </c>
      <c r="H11" s="41">
        <f>SUM(D11:G11)</f>
        <v>0</v>
      </c>
    </row>
    <row r="12" spans="2:8">
      <c r="B12" s="143"/>
      <c r="C12" s="40" t="s">
        <v>522</v>
      </c>
      <c r="D12" s="41">
        <v>0</v>
      </c>
      <c r="E12" s="41">
        <v>0</v>
      </c>
      <c r="F12" s="41">
        <v>0</v>
      </c>
      <c r="G12" s="41">
        <v>0</v>
      </c>
      <c r="H12" s="41">
        <f t="shared" si="0"/>
        <v>0</v>
      </c>
    </row>
    <row r="13" spans="2:8">
      <c r="B13" s="143"/>
      <c r="C13" s="40" t="s">
        <v>523</v>
      </c>
      <c r="D13" s="41">
        <v>0</v>
      </c>
      <c r="E13" s="41">
        <v>0</v>
      </c>
      <c r="F13" s="41">
        <v>0</v>
      </c>
      <c r="G13" s="41">
        <v>0</v>
      </c>
      <c r="H13" s="41">
        <f t="shared" si="0"/>
        <v>0</v>
      </c>
    </row>
    <row r="14" spans="2:8">
      <c r="B14" s="143"/>
      <c r="C14" s="40" t="s">
        <v>524</v>
      </c>
      <c r="D14" s="41">
        <v>0</v>
      </c>
      <c r="E14" s="41">
        <v>0</v>
      </c>
      <c r="F14" s="41">
        <v>0</v>
      </c>
      <c r="G14" s="41">
        <v>0</v>
      </c>
      <c r="H14" s="41">
        <f t="shared" si="0"/>
        <v>0</v>
      </c>
    </row>
    <row r="15" spans="2:8">
      <c r="B15" s="144"/>
      <c r="C15" s="42" t="s">
        <v>456</v>
      </c>
      <c r="D15" s="43">
        <f>SUM(D11:D14)</f>
        <v>0</v>
      </c>
      <c r="E15" s="43">
        <f t="shared" ref="E15:G15" si="2">SUM(E11:E14)</f>
        <v>0</v>
      </c>
      <c r="F15" s="43">
        <f t="shared" si="2"/>
        <v>0</v>
      </c>
      <c r="G15" s="43">
        <f t="shared" si="2"/>
        <v>0</v>
      </c>
      <c r="H15" s="43">
        <f t="shared" si="0"/>
        <v>0</v>
      </c>
    </row>
    <row r="16" spans="2:8">
      <c r="B16" s="145" t="s">
        <v>526</v>
      </c>
      <c r="C16" s="146"/>
      <c r="D16" s="19"/>
      <c r="E16" s="19"/>
      <c r="F16" s="19"/>
      <c r="G16" s="19"/>
      <c r="H16" s="19"/>
    </row>
    <row r="17" spans="2:8">
      <c r="B17" s="139" t="s">
        <v>519</v>
      </c>
      <c r="C17" s="40">
        <v>1000</v>
      </c>
      <c r="D17" s="41">
        <v>0</v>
      </c>
      <c r="E17" s="41">
        <v>0</v>
      </c>
      <c r="F17" s="41">
        <v>0</v>
      </c>
      <c r="G17" s="41">
        <v>0</v>
      </c>
      <c r="H17" s="41">
        <f>SUM(D17:G17)</f>
        <v>0</v>
      </c>
    </row>
    <row r="18" spans="2:8">
      <c r="B18" s="140"/>
      <c r="C18" s="40">
        <v>2000</v>
      </c>
      <c r="D18" s="41">
        <v>0</v>
      </c>
      <c r="E18" s="41">
        <v>0</v>
      </c>
      <c r="F18" s="41">
        <v>0</v>
      </c>
      <c r="G18" s="41">
        <v>0</v>
      </c>
      <c r="H18" s="41">
        <f t="shared" ref="H18:H23" si="3">SUM(D18:G18)</f>
        <v>0</v>
      </c>
    </row>
    <row r="19" spans="2:8">
      <c r="B19" s="140"/>
      <c r="C19" s="40">
        <v>3000</v>
      </c>
      <c r="D19" s="41">
        <v>0</v>
      </c>
      <c r="E19" s="41">
        <v>0</v>
      </c>
      <c r="F19" s="41">
        <v>0</v>
      </c>
      <c r="G19" s="41">
        <v>0</v>
      </c>
      <c r="H19" s="41">
        <f t="shared" si="3"/>
        <v>0</v>
      </c>
    </row>
    <row r="20" spans="2:8">
      <c r="B20" s="140"/>
      <c r="C20" s="40">
        <v>4000</v>
      </c>
      <c r="D20" s="41">
        <v>0</v>
      </c>
      <c r="E20" s="41">
        <v>0</v>
      </c>
      <c r="F20" s="41">
        <v>0</v>
      </c>
      <c r="G20" s="41">
        <v>0</v>
      </c>
      <c r="H20" s="41">
        <f t="shared" si="3"/>
        <v>0</v>
      </c>
    </row>
    <row r="21" spans="2:8">
      <c r="B21" s="140"/>
      <c r="C21" s="40">
        <v>5000</v>
      </c>
      <c r="D21" s="41">
        <v>0</v>
      </c>
      <c r="E21" s="41">
        <v>0</v>
      </c>
      <c r="F21" s="41">
        <v>0</v>
      </c>
      <c r="G21" s="41">
        <v>0</v>
      </c>
      <c r="H21" s="41">
        <f t="shared" si="3"/>
        <v>0</v>
      </c>
    </row>
    <row r="22" spans="2:8">
      <c r="B22" s="140"/>
      <c r="C22" s="40">
        <v>6000</v>
      </c>
      <c r="D22" s="41">
        <v>0</v>
      </c>
      <c r="E22" s="41">
        <v>0</v>
      </c>
      <c r="F22" s="41">
        <v>0</v>
      </c>
      <c r="G22" s="41">
        <v>0</v>
      </c>
      <c r="H22" s="41">
        <f t="shared" si="3"/>
        <v>0</v>
      </c>
    </row>
    <row r="23" spans="2:8">
      <c r="B23" s="141"/>
      <c r="C23" s="42" t="s">
        <v>456</v>
      </c>
      <c r="D23" s="43">
        <f>SUM(D17:D22)</f>
        <v>0</v>
      </c>
      <c r="E23" s="43">
        <f t="shared" ref="E23" si="4">SUM(E17:E22)</f>
        <v>0</v>
      </c>
      <c r="F23" s="43">
        <f t="shared" ref="F23" si="5">SUM(F17:F22)</f>
        <v>0</v>
      </c>
      <c r="G23" s="43">
        <f t="shared" ref="G23" si="6">SUM(G17:G22)</f>
        <v>0</v>
      </c>
      <c r="H23" s="43">
        <f t="shared" si="3"/>
        <v>0</v>
      </c>
    </row>
    <row r="24" spans="2:8">
      <c r="B24" s="142" t="s">
        <v>520</v>
      </c>
      <c r="C24" s="40" t="s">
        <v>521</v>
      </c>
      <c r="D24" s="41">
        <v>0</v>
      </c>
      <c r="E24" s="41">
        <v>0</v>
      </c>
      <c r="F24" s="41">
        <v>0</v>
      </c>
      <c r="G24" s="41">
        <v>0</v>
      </c>
      <c r="H24" s="41">
        <f>SUM(D24:G24)</f>
        <v>0</v>
      </c>
    </row>
    <row r="25" spans="2:8">
      <c r="B25" s="143"/>
      <c r="C25" s="40" t="s">
        <v>522</v>
      </c>
      <c r="D25" s="41">
        <v>0</v>
      </c>
      <c r="E25" s="41">
        <v>0</v>
      </c>
      <c r="F25" s="41">
        <v>0</v>
      </c>
      <c r="G25" s="41">
        <v>0</v>
      </c>
      <c r="H25" s="41">
        <f t="shared" ref="H25:H28" si="7">SUM(D25:G25)</f>
        <v>0</v>
      </c>
    </row>
    <row r="26" spans="2:8">
      <c r="B26" s="143"/>
      <c r="C26" s="40" t="s">
        <v>523</v>
      </c>
      <c r="D26" s="41">
        <v>0</v>
      </c>
      <c r="E26" s="41">
        <v>0</v>
      </c>
      <c r="F26" s="41">
        <v>0</v>
      </c>
      <c r="G26" s="41">
        <v>0</v>
      </c>
      <c r="H26" s="41">
        <f t="shared" si="7"/>
        <v>0</v>
      </c>
    </row>
    <row r="27" spans="2:8">
      <c r="B27" s="143"/>
      <c r="C27" s="40" t="s">
        <v>524</v>
      </c>
      <c r="D27" s="41">
        <v>0</v>
      </c>
      <c r="E27" s="41">
        <v>0</v>
      </c>
      <c r="F27" s="41">
        <v>0</v>
      </c>
      <c r="G27" s="41">
        <v>0</v>
      </c>
      <c r="H27" s="41">
        <f t="shared" si="7"/>
        <v>0</v>
      </c>
    </row>
    <row r="28" spans="2:8">
      <c r="B28" s="144"/>
      <c r="C28" s="42" t="s">
        <v>456</v>
      </c>
      <c r="D28" s="43">
        <f>SUM(D24:D27)</f>
        <v>0</v>
      </c>
      <c r="E28" s="43">
        <f t="shared" ref="E28" si="8">SUM(E24:E27)</f>
        <v>0</v>
      </c>
      <c r="F28" s="43">
        <f t="shared" ref="F28" si="9">SUM(F24:F27)</f>
        <v>0</v>
      </c>
      <c r="G28" s="43">
        <f t="shared" ref="G28" si="10">SUM(G24:G27)</f>
        <v>0</v>
      </c>
      <c r="H28" s="43">
        <f t="shared" si="7"/>
        <v>0</v>
      </c>
    </row>
    <row r="29" spans="2:8">
      <c r="B29" s="145" t="s">
        <v>527</v>
      </c>
      <c r="C29" s="146"/>
      <c r="D29" s="19"/>
      <c r="E29" s="19"/>
      <c r="F29" s="19"/>
      <c r="G29" s="19"/>
      <c r="H29" s="19"/>
    </row>
    <row r="30" spans="2:8">
      <c r="B30" s="139" t="s">
        <v>519</v>
      </c>
      <c r="C30" s="40">
        <v>1000</v>
      </c>
      <c r="D30" s="41">
        <v>0</v>
      </c>
      <c r="E30" s="41">
        <v>0</v>
      </c>
      <c r="F30" s="41">
        <v>0</v>
      </c>
      <c r="G30" s="41">
        <v>0</v>
      </c>
      <c r="H30" s="41">
        <f>SUM(D30:G30)</f>
        <v>0</v>
      </c>
    </row>
    <row r="31" spans="2:8">
      <c r="B31" s="140"/>
      <c r="C31" s="40">
        <v>2000</v>
      </c>
      <c r="D31" s="41">
        <v>0</v>
      </c>
      <c r="E31" s="41">
        <v>0</v>
      </c>
      <c r="F31" s="41">
        <v>0</v>
      </c>
      <c r="G31" s="41">
        <v>0</v>
      </c>
      <c r="H31" s="41">
        <f t="shared" ref="H31:H36" si="11">SUM(D31:G31)</f>
        <v>0</v>
      </c>
    </row>
    <row r="32" spans="2:8">
      <c r="B32" s="140"/>
      <c r="C32" s="40">
        <v>3000</v>
      </c>
      <c r="D32" s="41">
        <v>0</v>
      </c>
      <c r="E32" s="41">
        <v>0</v>
      </c>
      <c r="F32" s="41">
        <v>0</v>
      </c>
      <c r="G32" s="41">
        <v>0</v>
      </c>
      <c r="H32" s="41">
        <f t="shared" si="11"/>
        <v>0</v>
      </c>
    </row>
    <row r="33" spans="2:8">
      <c r="B33" s="140"/>
      <c r="C33" s="40">
        <v>4000</v>
      </c>
      <c r="D33" s="41">
        <v>0</v>
      </c>
      <c r="E33" s="41">
        <v>0</v>
      </c>
      <c r="F33" s="41">
        <v>0</v>
      </c>
      <c r="G33" s="41">
        <v>0</v>
      </c>
      <c r="H33" s="41">
        <f t="shared" si="11"/>
        <v>0</v>
      </c>
    </row>
    <row r="34" spans="2:8">
      <c r="B34" s="140"/>
      <c r="C34" s="40">
        <v>5000</v>
      </c>
      <c r="D34" s="41">
        <v>0</v>
      </c>
      <c r="E34" s="41">
        <v>0</v>
      </c>
      <c r="F34" s="41">
        <v>0</v>
      </c>
      <c r="G34" s="41">
        <v>0</v>
      </c>
      <c r="H34" s="41">
        <f t="shared" si="11"/>
        <v>0</v>
      </c>
    </row>
    <row r="35" spans="2:8">
      <c r="B35" s="140"/>
      <c r="C35" s="40">
        <v>6000</v>
      </c>
      <c r="D35" s="41">
        <v>0</v>
      </c>
      <c r="E35" s="41">
        <v>0</v>
      </c>
      <c r="F35" s="41">
        <v>0</v>
      </c>
      <c r="G35" s="41">
        <v>0</v>
      </c>
      <c r="H35" s="41">
        <f t="shared" si="11"/>
        <v>0</v>
      </c>
    </row>
    <row r="36" spans="2:8">
      <c r="B36" s="141"/>
      <c r="C36" s="42" t="s">
        <v>456</v>
      </c>
      <c r="D36" s="43">
        <f>SUM(D30:D35)</f>
        <v>0</v>
      </c>
      <c r="E36" s="43">
        <f t="shared" ref="E36" si="12">SUM(E30:E35)</f>
        <v>0</v>
      </c>
      <c r="F36" s="43">
        <f t="shared" ref="F36" si="13">SUM(F30:F35)</f>
        <v>0</v>
      </c>
      <c r="G36" s="43">
        <f t="shared" ref="G36" si="14">SUM(G30:G35)</f>
        <v>0</v>
      </c>
      <c r="H36" s="43">
        <f t="shared" si="11"/>
        <v>0</v>
      </c>
    </row>
    <row r="37" spans="2:8">
      <c r="B37" s="142" t="s">
        <v>520</v>
      </c>
      <c r="C37" s="40" t="s">
        <v>521</v>
      </c>
      <c r="D37" s="41">
        <v>0</v>
      </c>
      <c r="E37" s="41">
        <v>0</v>
      </c>
      <c r="F37" s="41">
        <v>0</v>
      </c>
      <c r="G37" s="41">
        <v>0</v>
      </c>
      <c r="H37" s="41">
        <f>SUM(D37:G37)</f>
        <v>0</v>
      </c>
    </row>
    <row r="38" spans="2:8">
      <c r="B38" s="143"/>
      <c r="C38" s="40" t="s">
        <v>522</v>
      </c>
      <c r="D38" s="41">
        <v>0</v>
      </c>
      <c r="E38" s="41">
        <v>0</v>
      </c>
      <c r="F38" s="41">
        <v>0</v>
      </c>
      <c r="G38" s="41">
        <v>0</v>
      </c>
      <c r="H38" s="41">
        <f t="shared" ref="H38:H41" si="15">SUM(D38:G38)</f>
        <v>0</v>
      </c>
    </row>
    <row r="39" spans="2:8">
      <c r="B39" s="143"/>
      <c r="C39" s="40" t="s">
        <v>523</v>
      </c>
      <c r="D39" s="41">
        <v>0</v>
      </c>
      <c r="E39" s="41">
        <v>0</v>
      </c>
      <c r="F39" s="41">
        <v>0</v>
      </c>
      <c r="G39" s="41">
        <v>0</v>
      </c>
      <c r="H39" s="41">
        <f t="shared" si="15"/>
        <v>0</v>
      </c>
    </row>
    <row r="40" spans="2:8">
      <c r="B40" s="143"/>
      <c r="C40" s="40" t="s">
        <v>524</v>
      </c>
      <c r="D40" s="41">
        <v>0</v>
      </c>
      <c r="E40" s="41">
        <v>0</v>
      </c>
      <c r="F40" s="41">
        <v>0</v>
      </c>
      <c r="G40" s="41">
        <v>0</v>
      </c>
      <c r="H40" s="41">
        <f t="shared" si="15"/>
        <v>0</v>
      </c>
    </row>
    <row r="41" spans="2:8">
      <c r="B41" s="144"/>
      <c r="C41" s="42" t="s">
        <v>456</v>
      </c>
      <c r="D41" s="43">
        <f>SUM(D37:D40)</f>
        <v>0</v>
      </c>
      <c r="E41" s="43">
        <f t="shared" ref="E41" si="16">SUM(E37:E40)</f>
        <v>0</v>
      </c>
      <c r="F41" s="43">
        <f t="shared" ref="F41" si="17">SUM(F37:F40)</f>
        <v>0</v>
      </c>
      <c r="G41" s="43">
        <f t="shared" ref="G41" si="18">SUM(G37:G40)</f>
        <v>0</v>
      </c>
      <c r="H41" s="43">
        <f t="shared" si="15"/>
        <v>0</v>
      </c>
    </row>
    <row r="42" spans="2:8">
      <c r="B42" s="145" t="s">
        <v>528</v>
      </c>
      <c r="C42" s="146"/>
      <c r="D42" s="19"/>
      <c r="E42" s="19"/>
      <c r="F42" s="19"/>
      <c r="G42" s="19"/>
      <c r="H42" s="19"/>
    </row>
    <row r="43" spans="2:8">
      <c r="B43" s="139" t="s">
        <v>519</v>
      </c>
      <c r="C43" s="40">
        <v>1000</v>
      </c>
      <c r="D43" s="41">
        <v>0</v>
      </c>
      <c r="E43" s="41">
        <v>0</v>
      </c>
      <c r="F43" s="41">
        <v>0</v>
      </c>
      <c r="G43" s="41">
        <v>0</v>
      </c>
      <c r="H43" s="41">
        <f>SUM(D43:G43)</f>
        <v>0</v>
      </c>
    </row>
    <row r="44" spans="2:8">
      <c r="B44" s="140"/>
      <c r="C44" s="40">
        <v>2000</v>
      </c>
      <c r="D44" s="41">
        <v>0</v>
      </c>
      <c r="E44" s="41">
        <v>0</v>
      </c>
      <c r="F44" s="41">
        <v>0</v>
      </c>
      <c r="G44" s="41">
        <v>0</v>
      </c>
      <c r="H44" s="41">
        <f t="shared" ref="H44:H49" si="19">SUM(D44:G44)</f>
        <v>0</v>
      </c>
    </row>
    <row r="45" spans="2:8">
      <c r="B45" s="140"/>
      <c r="C45" s="40">
        <v>3000</v>
      </c>
      <c r="D45" s="41">
        <v>0</v>
      </c>
      <c r="E45" s="41">
        <v>0</v>
      </c>
      <c r="F45" s="41">
        <v>0</v>
      </c>
      <c r="G45" s="41">
        <v>0</v>
      </c>
      <c r="H45" s="41">
        <f t="shared" si="19"/>
        <v>0</v>
      </c>
    </row>
    <row r="46" spans="2:8">
      <c r="B46" s="140"/>
      <c r="C46" s="40">
        <v>4000</v>
      </c>
      <c r="D46" s="41">
        <v>0</v>
      </c>
      <c r="E46" s="41">
        <v>0</v>
      </c>
      <c r="F46" s="41">
        <v>0</v>
      </c>
      <c r="G46" s="41">
        <v>0</v>
      </c>
      <c r="H46" s="41">
        <f t="shared" si="19"/>
        <v>0</v>
      </c>
    </row>
    <row r="47" spans="2:8">
      <c r="B47" s="140"/>
      <c r="C47" s="40">
        <v>5000</v>
      </c>
      <c r="D47" s="41">
        <v>0</v>
      </c>
      <c r="E47" s="41">
        <v>0</v>
      </c>
      <c r="F47" s="41">
        <v>0</v>
      </c>
      <c r="G47" s="41">
        <v>0</v>
      </c>
      <c r="H47" s="41">
        <f t="shared" si="19"/>
        <v>0</v>
      </c>
    </row>
    <row r="48" spans="2:8">
      <c r="B48" s="140"/>
      <c r="C48" s="40">
        <v>6000</v>
      </c>
      <c r="D48" s="41">
        <v>0</v>
      </c>
      <c r="E48" s="41">
        <v>0</v>
      </c>
      <c r="F48" s="41">
        <v>0</v>
      </c>
      <c r="G48" s="41">
        <v>0</v>
      </c>
      <c r="H48" s="41">
        <f t="shared" si="19"/>
        <v>0</v>
      </c>
    </row>
    <row r="49" spans="2:8">
      <c r="B49" s="141"/>
      <c r="C49" s="42" t="s">
        <v>456</v>
      </c>
      <c r="D49" s="43">
        <f>SUM(D43:D48)</f>
        <v>0</v>
      </c>
      <c r="E49" s="43">
        <f t="shared" ref="E49" si="20">SUM(E43:E48)</f>
        <v>0</v>
      </c>
      <c r="F49" s="43">
        <f t="shared" ref="F49" si="21">SUM(F43:F48)</f>
        <v>0</v>
      </c>
      <c r="G49" s="43">
        <f t="shared" ref="G49" si="22">SUM(G43:G48)</f>
        <v>0</v>
      </c>
      <c r="H49" s="43">
        <f t="shared" si="19"/>
        <v>0</v>
      </c>
    </row>
    <row r="50" spans="2:8">
      <c r="B50" s="142" t="s">
        <v>520</v>
      </c>
      <c r="C50" s="40" t="s">
        <v>521</v>
      </c>
      <c r="D50" s="41">
        <v>0</v>
      </c>
      <c r="E50" s="41">
        <v>0</v>
      </c>
      <c r="F50" s="41">
        <v>0</v>
      </c>
      <c r="G50" s="41">
        <v>0</v>
      </c>
      <c r="H50" s="41">
        <f>SUM(D50:G50)</f>
        <v>0</v>
      </c>
    </row>
    <row r="51" spans="2:8">
      <c r="B51" s="143"/>
      <c r="C51" s="40" t="s">
        <v>522</v>
      </c>
      <c r="D51" s="41">
        <v>0</v>
      </c>
      <c r="E51" s="41">
        <v>0</v>
      </c>
      <c r="F51" s="41">
        <v>0</v>
      </c>
      <c r="G51" s="41">
        <v>0</v>
      </c>
      <c r="H51" s="41">
        <f t="shared" ref="H51:H54" si="23">SUM(D51:G51)</f>
        <v>0</v>
      </c>
    </row>
    <row r="52" spans="2:8">
      <c r="B52" s="143"/>
      <c r="C52" s="40" t="s">
        <v>523</v>
      </c>
      <c r="D52" s="41">
        <v>0</v>
      </c>
      <c r="E52" s="41">
        <v>0</v>
      </c>
      <c r="F52" s="41">
        <v>0</v>
      </c>
      <c r="G52" s="41">
        <v>0</v>
      </c>
      <c r="H52" s="41">
        <f t="shared" si="23"/>
        <v>0</v>
      </c>
    </row>
    <row r="53" spans="2:8">
      <c r="B53" s="143"/>
      <c r="C53" s="40" t="s">
        <v>524</v>
      </c>
      <c r="D53" s="41">
        <v>0</v>
      </c>
      <c r="E53" s="41">
        <v>0</v>
      </c>
      <c r="F53" s="41">
        <v>0</v>
      </c>
      <c r="G53" s="41">
        <v>0</v>
      </c>
      <c r="H53" s="41">
        <f t="shared" si="23"/>
        <v>0</v>
      </c>
    </row>
    <row r="54" spans="2:8">
      <c r="B54" s="144"/>
      <c r="C54" s="42" t="s">
        <v>456</v>
      </c>
      <c r="D54" s="43">
        <f>SUM(D50:D53)</f>
        <v>0</v>
      </c>
      <c r="E54" s="43">
        <f t="shared" ref="E54" si="24">SUM(E50:E53)</f>
        <v>0</v>
      </c>
      <c r="F54" s="43">
        <f t="shared" ref="F54" si="25">SUM(F50:F53)</f>
        <v>0</v>
      </c>
      <c r="G54" s="43">
        <f t="shared" ref="G54" si="26">SUM(G50:G53)</f>
        <v>0</v>
      </c>
      <c r="H54" s="43">
        <f t="shared" si="23"/>
        <v>0</v>
      </c>
    </row>
    <row r="55" spans="2:8">
      <c r="B55" s="145" t="s">
        <v>529</v>
      </c>
      <c r="C55" s="146"/>
      <c r="D55" s="19"/>
      <c r="E55" s="19"/>
      <c r="F55" s="19"/>
      <c r="G55" s="19"/>
      <c r="H55" s="19"/>
    </row>
    <row r="56" spans="2:8">
      <c r="B56" s="139" t="s">
        <v>519</v>
      </c>
      <c r="C56" s="40">
        <v>1000</v>
      </c>
      <c r="D56" s="41">
        <v>0</v>
      </c>
      <c r="E56" s="41">
        <v>0</v>
      </c>
      <c r="F56" s="41">
        <v>0</v>
      </c>
      <c r="G56" s="41">
        <v>0</v>
      </c>
      <c r="H56" s="41">
        <f>SUM(D56:G56)</f>
        <v>0</v>
      </c>
    </row>
    <row r="57" spans="2:8">
      <c r="B57" s="140"/>
      <c r="C57" s="40">
        <v>2000</v>
      </c>
      <c r="D57" s="41">
        <v>0</v>
      </c>
      <c r="E57" s="41">
        <v>0</v>
      </c>
      <c r="F57" s="41">
        <v>0</v>
      </c>
      <c r="G57" s="41">
        <v>0</v>
      </c>
      <c r="H57" s="41">
        <f t="shared" ref="H57:H62" si="27">SUM(D57:G57)</f>
        <v>0</v>
      </c>
    </row>
    <row r="58" spans="2:8">
      <c r="B58" s="140"/>
      <c r="C58" s="40">
        <v>3000</v>
      </c>
      <c r="D58" s="41">
        <v>0</v>
      </c>
      <c r="E58" s="41">
        <v>0</v>
      </c>
      <c r="F58" s="41">
        <v>0</v>
      </c>
      <c r="G58" s="41">
        <v>0</v>
      </c>
      <c r="H58" s="41">
        <f t="shared" si="27"/>
        <v>0</v>
      </c>
    </row>
    <row r="59" spans="2:8">
      <c r="B59" s="140"/>
      <c r="C59" s="40">
        <v>4000</v>
      </c>
      <c r="D59" s="41">
        <v>0</v>
      </c>
      <c r="E59" s="41">
        <v>0</v>
      </c>
      <c r="F59" s="41">
        <v>0</v>
      </c>
      <c r="G59" s="41">
        <v>0</v>
      </c>
      <c r="H59" s="41">
        <f t="shared" si="27"/>
        <v>0</v>
      </c>
    </row>
    <row r="60" spans="2:8">
      <c r="B60" s="140"/>
      <c r="C60" s="40">
        <v>5000</v>
      </c>
      <c r="D60" s="41">
        <v>0</v>
      </c>
      <c r="E60" s="41">
        <v>0</v>
      </c>
      <c r="F60" s="41">
        <v>0</v>
      </c>
      <c r="G60" s="41">
        <v>0</v>
      </c>
      <c r="H60" s="41">
        <f t="shared" si="27"/>
        <v>0</v>
      </c>
    </row>
    <row r="61" spans="2:8">
      <c r="B61" s="140"/>
      <c r="C61" s="40">
        <v>6000</v>
      </c>
      <c r="D61" s="41">
        <v>0</v>
      </c>
      <c r="E61" s="41">
        <v>0</v>
      </c>
      <c r="F61" s="41">
        <v>0</v>
      </c>
      <c r="G61" s="41">
        <v>0</v>
      </c>
      <c r="H61" s="41">
        <f t="shared" si="27"/>
        <v>0</v>
      </c>
    </row>
    <row r="62" spans="2:8">
      <c r="B62" s="141"/>
      <c r="C62" s="42" t="s">
        <v>456</v>
      </c>
      <c r="D62" s="43">
        <f>SUM(D56:D61)</f>
        <v>0</v>
      </c>
      <c r="E62" s="43">
        <f t="shared" ref="E62" si="28">SUM(E56:E61)</f>
        <v>0</v>
      </c>
      <c r="F62" s="43">
        <f t="shared" ref="F62" si="29">SUM(F56:F61)</f>
        <v>0</v>
      </c>
      <c r="G62" s="43">
        <f t="shared" ref="G62" si="30">SUM(G56:G61)</f>
        <v>0</v>
      </c>
      <c r="H62" s="43">
        <f t="shared" si="27"/>
        <v>0</v>
      </c>
    </row>
    <row r="63" spans="2:8">
      <c r="B63" s="142" t="s">
        <v>520</v>
      </c>
      <c r="C63" s="40" t="s">
        <v>521</v>
      </c>
      <c r="D63" s="41">
        <v>0</v>
      </c>
      <c r="E63" s="41">
        <v>0</v>
      </c>
      <c r="F63" s="41">
        <v>0</v>
      </c>
      <c r="G63" s="41">
        <v>0</v>
      </c>
      <c r="H63" s="41">
        <f>SUM(D63:G63)</f>
        <v>0</v>
      </c>
    </row>
    <row r="64" spans="2:8">
      <c r="B64" s="143"/>
      <c r="C64" s="40" t="s">
        <v>522</v>
      </c>
      <c r="D64" s="41">
        <v>0</v>
      </c>
      <c r="E64" s="41">
        <v>0</v>
      </c>
      <c r="F64" s="41">
        <v>0</v>
      </c>
      <c r="G64" s="41">
        <v>0</v>
      </c>
      <c r="H64" s="41">
        <f t="shared" ref="H64:H67" si="31">SUM(D64:G64)</f>
        <v>0</v>
      </c>
    </row>
    <row r="65" spans="2:8">
      <c r="B65" s="143"/>
      <c r="C65" s="40" t="s">
        <v>523</v>
      </c>
      <c r="D65" s="41">
        <v>0</v>
      </c>
      <c r="E65" s="41">
        <v>0</v>
      </c>
      <c r="F65" s="41">
        <v>0</v>
      </c>
      <c r="G65" s="41">
        <v>0</v>
      </c>
      <c r="H65" s="41">
        <f t="shared" si="31"/>
        <v>0</v>
      </c>
    </row>
    <row r="66" spans="2:8">
      <c r="B66" s="143"/>
      <c r="C66" s="40" t="s">
        <v>524</v>
      </c>
      <c r="D66" s="41">
        <v>0</v>
      </c>
      <c r="E66" s="41">
        <v>0</v>
      </c>
      <c r="F66" s="41">
        <v>0</v>
      </c>
      <c r="G66" s="41">
        <v>0</v>
      </c>
      <c r="H66" s="41">
        <f t="shared" si="31"/>
        <v>0</v>
      </c>
    </row>
    <row r="67" spans="2:8">
      <c r="B67" s="144"/>
      <c r="C67" s="42" t="s">
        <v>456</v>
      </c>
      <c r="D67" s="43">
        <f>SUM(D63:D66)</f>
        <v>0</v>
      </c>
      <c r="E67" s="43">
        <f t="shared" ref="E67" si="32">SUM(E63:E66)</f>
        <v>0</v>
      </c>
      <c r="F67" s="43">
        <f t="shared" ref="F67" si="33">SUM(F63:F66)</f>
        <v>0</v>
      </c>
      <c r="G67" s="43">
        <f t="shared" ref="G67" si="34">SUM(G63:G66)</f>
        <v>0</v>
      </c>
      <c r="H67" s="43">
        <f t="shared" si="31"/>
        <v>0</v>
      </c>
    </row>
  </sheetData>
  <mergeCells count="18">
    <mergeCell ref="B24:B28"/>
    <mergeCell ref="B29:C29"/>
    <mergeCell ref="B30:B36"/>
    <mergeCell ref="B37:B41"/>
    <mergeCell ref="B42:C42"/>
    <mergeCell ref="H2:H3"/>
    <mergeCell ref="B1:C1"/>
    <mergeCell ref="B3:C3"/>
    <mergeCell ref="B16:C16"/>
    <mergeCell ref="B17:B23"/>
    <mergeCell ref="B2:C2"/>
    <mergeCell ref="B4:B10"/>
    <mergeCell ref="B11:B15"/>
    <mergeCell ref="B43:B49"/>
    <mergeCell ref="B50:B54"/>
    <mergeCell ref="B55:C55"/>
    <mergeCell ref="B56:B62"/>
    <mergeCell ref="B63:B6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P55"/>
  <sheetViews>
    <sheetView topLeftCell="A31" workbookViewId="0">
      <selection activeCell="C45" sqref="C45"/>
    </sheetView>
  </sheetViews>
  <sheetFormatPr baseColWidth="10" defaultRowHeight="1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4" spans="2:7">
      <c r="B4" s="18" t="s">
        <v>361</v>
      </c>
    </row>
    <row r="5" spans="2:7">
      <c r="B5" s="6"/>
      <c r="C5" s="6"/>
    </row>
    <row r="6" spans="2:7">
      <c r="B6" s="6"/>
      <c r="C6" s="6"/>
    </row>
    <row r="7" spans="2:7">
      <c r="B7" s="6"/>
      <c r="C7" s="6"/>
    </row>
    <row r="8" spans="2:7">
      <c r="B8" s="6"/>
      <c r="C8" s="6"/>
    </row>
    <row r="9" spans="2:7" ht="15.75" thickBot="1">
      <c r="B9" s="6"/>
      <c r="C9" s="6"/>
    </row>
    <row r="10" spans="2:7" ht="15.75" thickBot="1">
      <c r="B10" s="5" t="s">
        <v>0</v>
      </c>
      <c r="C10" s="7"/>
      <c r="E10" s="5" t="s">
        <v>2</v>
      </c>
      <c r="F10" s="7"/>
      <c r="G10" s="10"/>
    </row>
    <row r="11" spans="2:7" ht="15.75" thickBot="1">
      <c r="E11" s="5" t="s">
        <v>270</v>
      </c>
      <c r="F11" s="9"/>
    </row>
    <row r="12" spans="2:7" ht="15.75" thickBot="1">
      <c r="B12" s="16" t="s">
        <v>267</v>
      </c>
      <c r="C12" s="8"/>
      <c r="G12" s="11"/>
    </row>
    <row r="13" spans="2:7" ht="15.75" thickBot="1">
      <c r="C13" s="13"/>
      <c r="E13" s="13"/>
      <c r="F13" s="10"/>
      <c r="G13" s="11"/>
    </row>
    <row r="14" spans="2:7" ht="30.75" thickBot="1">
      <c r="B14" s="17" t="s">
        <v>268</v>
      </c>
      <c r="C14" s="8"/>
      <c r="E14" s="5" t="s">
        <v>4</v>
      </c>
      <c r="F14" s="7"/>
      <c r="G14" s="11"/>
    </row>
    <row r="15" spans="2:7" ht="14.25" customHeight="1" thickBot="1">
      <c r="E15" s="13" t="s">
        <v>270</v>
      </c>
      <c r="F15" s="9"/>
      <c r="G15" s="11"/>
    </row>
    <row r="16" spans="2:7">
      <c r="B16" s="5" t="str">
        <f>IF(C12="Otro","Especificar","")</f>
        <v/>
      </c>
      <c r="E16" s="13"/>
      <c r="F16" s="13"/>
      <c r="G16" s="13"/>
    </row>
    <row r="17" spans="2:8">
      <c r="E17" s="13"/>
      <c r="F17" s="13"/>
      <c r="G17" s="13"/>
    </row>
    <row r="18" spans="2:8" ht="15.75" thickBot="1">
      <c r="C18" s="5" t="s">
        <v>269</v>
      </c>
      <c r="E18" s="13" t="s">
        <v>270</v>
      </c>
      <c r="F18" s="13"/>
      <c r="G18" s="13"/>
    </row>
    <row r="19" spans="2:8" ht="15.75" thickBot="1">
      <c r="B19" s="5" t="s">
        <v>5</v>
      </c>
      <c r="C19" s="9">
        <v>1</v>
      </c>
      <c r="E19" s="9"/>
      <c r="F19" s="10"/>
      <c r="G19" s="11"/>
    </row>
    <row r="20" spans="2:8" ht="15.75" thickBot="1">
      <c r="C20" s="9">
        <v>2</v>
      </c>
      <c r="E20" s="9"/>
      <c r="F20" s="10"/>
      <c r="G20" s="11"/>
    </row>
    <row r="21" spans="2:8" ht="15.75" thickBot="1">
      <c r="C21" s="9">
        <v>3</v>
      </c>
      <c r="E21" s="9"/>
      <c r="F21" s="10"/>
      <c r="G21" s="11"/>
    </row>
    <row r="22" spans="2:8" ht="15.75" thickBot="1">
      <c r="C22" s="9">
        <v>4</v>
      </c>
      <c r="E22" s="9"/>
      <c r="F22" s="10"/>
      <c r="G22" s="11"/>
    </row>
    <row r="23" spans="2:8">
      <c r="E23" s="13"/>
      <c r="F23" s="13"/>
      <c r="G23" s="13"/>
    </row>
    <row r="24" spans="2:8">
      <c r="E24" s="13"/>
      <c r="F24" s="10"/>
      <c r="G24" s="10"/>
    </row>
    <row r="25" spans="2:8">
      <c r="E25" s="13"/>
      <c r="F25" s="10"/>
      <c r="G25" s="10"/>
    </row>
    <row r="26" spans="2:8">
      <c r="E26" s="11"/>
      <c r="F26" s="10"/>
      <c r="G26" s="10"/>
    </row>
    <row r="27" spans="2:8">
      <c r="E27" s="13"/>
      <c r="F27" s="13"/>
      <c r="G27" s="13"/>
    </row>
    <row r="31" spans="2:8" ht="15.75" thickBot="1"/>
    <row r="32" spans="2:8" ht="38.25" customHeight="1">
      <c r="B32" s="44" t="s">
        <v>531</v>
      </c>
      <c r="C32" s="44" t="s">
        <v>532</v>
      </c>
      <c r="D32" s="44" t="s">
        <v>533</v>
      </c>
      <c r="E32" s="44" t="s">
        <v>534</v>
      </c>
      <c r="F32" s="44" t="s">
        <v>535</v>
      </c>
      <c r="G32" s="44" t="s">
        <v>536</v>
      </c>
      <c r="H32" s="45" t="s">
        <v>797</v>
      </c>
    </row>
    <row r="33" spans="1:16" ht="15.75" thickBot="1">
      <c r="B33" s="46"/>
      <c r="C33" s="47"/>
      <c r="D33" s="47"/>
      <c r="E33" s="47"/>
      <c r="F33" s="47"/>
      <c r="G33" s="47"/>
      <c r="H33" s="47"/>
    </row>
    <row r="34" spans="1:16" ht="15.75" thickBot="1">
      <c r="B34" s="46"/>
      <c r="C34" s="47"/>
      <c r="D34" s="47"/>
      <c r="E34" s="47"/>
      <c r="F34" s="47"/>
      <c r="G34" s="47"/>
      <c r="H34" s="47"/>
    </row>
    <row r="35" spans="1:16" ht="15.75" thickBot="1">
      <c r="B35" s="46"/>
      <c r="C35" s="47"/>
      <c r="D35" s="47"/>
      <c r="E35" s="47"/>
      <c r="F35" s="47"/>
      <c r="G35" s="47"/>
      <c r="H35" s="47"/>
    </row>
    <row r="36" spans="1:16" ht="15.75" thickBot="1">
      <c r="B36" s="46"/>
      <c r="C36" s="47"/>
      <c r="D36" s="47"/>
      <c r="E36" s="47"/>
      <c r="F36" s="47"/>
      <c r="G36" s="47"/>
      <c r="H36" s="47"/>
    </row>
    <row r="37" spans="1:16" ht="15.75" thickBot="1">
      <c r="B37" s="46"/>
      <c r="C37" s="47"/>
      <c r="D37" s="47"/>
      <c r="E37" s="47"/>
      <c r="F37" s="47"/>
      <c r="G37" s="47"/>
      <c r="H37" s="47"/>
    </row>
    <row r="38" spans="1:16" ht="15.75" thickBot="1">
      <c r="B38" s="46"/>
      <c r="C38" s="47"/>
      <c r="D38" s="47"/>
      <c r="E38" s="47"/>
      <c r="F38" s="47"/>
      <c r="G38" s="47"/>
      <c r="H38" s="47"/>
    </row>
    <row r="42" spans="1:16" ht="15.75">
      <c r="A42" s="84" t="s">
        <v>936</v>
      </c>
      <c r="B42" s="85"/>
      <c r="C42" s="85"/>
      <c r="D42" s="85"/>
      <c r="E42" s="85"/>
      <c r="F42" s="85"/>
      <c r="G42" s="85"/>
      <c r="H42" s="85"/>
      <c r="I42" s="85"/>
      <c r="J42" s="85"/>
      <c r="K42" s="85"/>
      <c r="L42" s="85"/>
      <c r="M42" s="85"/>
      <c r="N42" s="85"/>
      <c r="O42" s="85"/>
      <c r="P42" s="85"/>
    </row>
    <row r="43" spans="1:16">
      <c r="A43" s="85"/>
      <c r="B43" s="85"/>
      <c r="C43" s="85"/>
      <c r="D43" s="85"/>
      <c r="E43" s="85"/>
      <c r="F43" s="85"/>
      <c r="G43" s="85"/>
      <c r="H43" s="85"/>
      <c r="I43" s="85"/>
      <c r="J43" s="85"/>
      <c r="K43" s="85"/>
      <c r="L43" s="85"/>
      <c r="M43" s="85"/>
      <c r="N43" s="85"/>
      <c r="O43" s="85"/>
      <c r="P43" s="85"/>
    </row>
    <row r="44" spans="1:16">
      <c r="A44" s="85" t="s">
        <v>937</v>
      </c>
      <c r="B44" s="85"/>
      <c r="C44" s="85"/>
      <c r="D44" s="85"/>
      <c r="E44" s="85"/>
      <c r="F44" s="85"/>
      <c r="G44" s="85"/>
      <c r="H44" s="85"/>
      <c r="I44" s="85"/>
      <c r="J44" s="85"/>
      <c r="K44" s="85"/>
      <c r="L44" s="85"/>
      <c r="M44" s="85"/>
      <c r="N44" s="85"/>
      <c r="O44" s="85"/>
      <c r="P44" s="85"/>
    </row>
    <row r="45" spans="1:16">
      <c r="A45" s="85"/>
      <c r="B45" s="85"/>
      <c r="C45" s="85"/>
      <c r="D45" s="85"/>
      <c r="E45" s="85"/>
      <c r="F45" s="85"/>
      <c r="G45" s="85"/>
      <c r="H45" s="85"/>
      <c r="I45" s="85"/>
      <c r="J45" s="85"/>
      <c r="K45" s="85"/>
      <c r="L45" s="85"/>
      <c r="M45" s="85"/>
      <c r="N45" s="85"/>
      <c r="O45" s="85"/>
      <c r="P45" s="85"/>
    </row>
    <row r="46" spans="1:16">
      <c r="A46" s="85"/>
      <c r="B46" s="85"/>
      <c r="C46" s="85"/>
      <c r="D46" s="85"/>
      <c r="E46" s="85"/>
      <c r="F46" s="85"/>
      <c r="G46" s="85"/>
      <c r="H46" s="85"/>
      <c r="I46" s="85"/>
      <c r="J46" s="85"/>
      <c r="K46" s="85"/>
      <c r="L46" s="85"/>
      <c r="M46" s="85"/>
      <c r="N46" s="85"/>
      <c r="O46" s="85"/>
      <c r="P46" s="85"/>
    </row>
    <row r="47" spans="1:16">
      <c r="A47" s="85"/>
      <c r="B47" s="85"/>
      <c r="C47" s="85"/>
      <c r="D47" s="85"/>
      <c r="E47" s="85"/>
      <c r="F47" s="85"/>
      <c r="G47" s="85"/>
      <c r="H47" s="85"/>
      <c r="I47" s="85"/>
      <c r="J47" s="85"/>
      <c r="K47" s="85"/>
      <c r="L47" s="85"/>
      <c r="M47" s="85"/>
      <c r="N47" s="85"/>
      <c r="O47" s="85"/>
      <c r="P47" s="85"/>
    </row>
    <row r="48" spans="1:16">
      <c r="E48" s="85"/>
      <c r="F48" s="85"/>
      <c r="G48" s="85"/>
      <c r="H48" s="85"/>
      <c r="I48" s="85"/>
      <c r="J48" s="85"/>
      <c r="K48" s="85"/>
      <c r="L48" s="85"/>
      <c r="M48" s="85"/>
      <c r="N48" s="85"/>
      <c r="O48" s="85"/>
      <c r="P48" s="85"/>
    </row>
    <row r="49" spans="1:16">
      <c r="E49" s="85"/>
      <c r="F49" s="85"/>
      <c r="G49" s="85"/>
      <c r="H49" s="85"/>
      <c r="I49" s="85"/>
      <c r="J49" s="85"/>
      <c r="K49" s="85"/>
      <c r="L49" s="85"/>
      <c r="M49" s="85"/>
      <c r="N49" s="85"/>
      <c r="O49" s="85"/>
      <c r="P49" s="85"/>
    </row>
    <row r="50" spans="1:16">
      <c r="A50" s="85"/>
      <c r="B50" s="85"/>
      <c r="C50" s="85"/>
      <c r="D50" s="85"/>
      <c r="E50" s="85"/>
      <c r="F50" s="85"/>
      <c r="G50" s="85"/>
      <c r="H50" s="85"/>
      <c r="I50" s="85"/>
      <c r="J50" s="85"/>
      <c r="K50" s="85"/>
      <c r="L50" s="85"/>
      <c r="M50" s="85"/>
      <c r="N50" s="85"/>
      <c r="O50" s="85"/>
      <c r="P50" s="85"/>
    </row>
    <row r="51" spans="1:16" ht="25.5" customHeight="1">
      <c r="A51" s="149" t="s">
        <v>938</v>
      </c>
      <c r="B51" s="149"/>
      <c r="C51" s="149" t="s">
        <v>939</v>
      </c>
      <c r="D51" s="149"/>
      <c r="E51" s="88" t="s">
        <v>940</v>
      </c>
      <c r="F51" s="88" t="s">
        <v>941</v>
      </c>
      <c r="G51" s="85"/>
      <c r="H51" s="85"/>
      <c r="I51" s="85"/>
      <c r="J51" s="85"/>
      <c r="K51" s="85"/>
      <c r="L51" s="85"/>
      <c r="M51" s="85"/>
      <c r="N51" s="85"/>
      <c r="O51" s="85"/>
    </row>
    <row r="52" spans="1:16" ht="63.75" customHeight="1">
      <c r="A52" s="148" t="s">
        <v>942</v>
      </c>
      <c r="B52" s="148"/>
      <c r="C52" s="150" t="s">
        <v>875</v>
      </c>
      <c r="D52" s="150"/>
      <c r="E52" s="86" t="s">
        <v>886</v>
      </c>
      <c r="F52" s="87" t="s">
        <v>943</v>
      </c>
      <c r="G52" s="85"/>
      <c r="H52" s="85"/>
      <c r="I52" s="85"/>
      <c r="J52" s="85"/>
      <c r="K52" s="85"/>
      <c r="L52" s="85"/>
      <c r="M52" s="85"/>
      <c r="N52" s="85"/>
      <c r="O52" s="85"/>
    </row>
    <row r="53" spans="1:16" ht="63.75" customHeight="1">
      <c r="A53" s="148" t="s">
        <v>944</v>
      </c>
      <c r="B53" s="148"/>
      <c r="C53" s="150" t="s">
        <v>875</v>
      </c>
      <c r="D53" s="150"/>
      <c r="E53" s="86" t="s">
        <v>886</v>
      </c>
      <c r="F53" s="87" t="s">
        <v>943</v>
      </c>
      <c r="G53" s="85"/>
      <c r="H53" s="85"/>
      <c r="I53" s="85"/>
      <c r="J53" s="85"/>
      <c r="K53" s="85"/>
      <c r="L53" s="85"/>
      <c r="M53" s="85"/>
      <c r="N53" s="85"/>
      <c r="O53" s="85"/>
    </row>
    <row r="54" spans="1:16" ht="63.75" customHeight="1">
      <c r="A54" s="148" t="s">
        <v>945</v>
      </c>
      <c r="B54" s="148"/>
      <c r="C54" s="150" t="s">
        <v>875</v>
      </c>
      <c r="D54" s="150"/>
      <c r="E54" s="86" t="s">
        <v>886</v>
      </c>
      <c r="F54" s="87" t="s">
        <v>943</v>
      </c>
      <c r="G54" s="85"/>
      <c r="H54" s="85"/>
      <c r="I54" s="85"/>
      <c r="J54" s="85"/>
      <c r="K54" s="85"/>
      <c r="L54" s="85"/>
      <c r="M54" s="85"/>
      <c r="N54" s="85"/>
      <c r="O54" s="85"/>
    </row>
    <row r="55" spans="1:16">
      <c r="A55" s="85"/>
      <c r="B55" s="85"/>
      <c r="C55" s="85"/>
      <c r="D55" s="85"/>
      <c r="E55" s="85"/>
      <c r="F55" s="85"/>
      <c r="G55" s="85"/>
      <c r="H55" s="85"/>
      <c r="I55" s="85"/>
      <c r="J55" s="85"/>
      <c r="K55" s="85"/>
      <c r="L55" s="85"/>
      <c r="M55" s="85"/>
      <c r="N55" s="85"/>
      <c r="O55" s="85"/>
      <c r="P55" s="85"/>
    </row>
  </sheetData>
  <mergeCells count="8">
    <mergeCell ref="A53:B53"/>
    <mergeCell ref="A54:B54"/>
    <mergeCell ref="C51:D51"/>
    <mergeCell ref="C52:D52"/>
    <mergeCell ref="C53:D53"/>
    <mergeCell ref="C54:D54"/>
    <mergeCell ref="A51:B51"/>
    <mergeCell ref="A52:B52"/>
  </mergeCells>
  <conditionalFormatting sqref="C16">
    <cfRule type="expression" dxfId="0" priority="3">
      <formula>IF($B$16="Especificar",TRUE,)</formula>
    </cfRule>
  </conditionalFormatting>
  <dataValidations count="5">
    <dataValidation type="list" allowBlank="1" showInputMessage="1" showErrorMessage="1" sqref="E19:E22 F15 F11">
      <formula1>"Complementario,Posible duplicidad"</formula1>
    </dataValidation>
    <dataValidation type="list" allowBlank="1" showInputMessage="1" showErrorMessage="1" sqref="C12">
      <formula1>"Federal,Estatal,Municipal,Otro"</formula1>
    </dataValidation>
    <dataValidation type="list" allowBlank="1" showInputMessage="1" showErrorMessage="1" sqref="C14">
      <formula1>INDIRECT(SUBSTITUTE(C12," ","_"))</formula1>
    </dataValidation>
    <dataValidation type="list" allowBlank="1" showInputMessage="1" showErrorMessage="1" sqref="B33:B38">
      <formula1>Estatal</formula1>
    </dataValidation>
    <dataValidation type="list" allowBlank="1" showInputMessage="1" showErrorMessage="1" sqref="F33:F38">
      <formula1>"Correo, Oficio, Reunión, Otro"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30" r:id="rId4" name="CommandButton3">
          <controlPr defaultSize="0" autoLine="0" r:id="rId5">
            <anchor moveWithCells="1">
              <from>
                <xdr:col>2</xdr:col>
                <xdr:colOff>476250</xdr:colOff>
                <xdr:row>24</xdr:row>
                <xdr:rowOff>28575</xdr:rowOff>
              </from>
              <to>
                <xdr:col>3</xdr:col>
                <xdr:colOff>228600</xdr:colOff>
                <xdr:row>25</xdr:row>
                <xdr:rowOff>171450</xdr:rowOff>
              </to>
            </anchor>
          </controlPr>
        </control>
      </mc:Choice>
      <mc:Fallback>
        <control shapeId="5130" r:id="rId4" name="CommandButton3"/>
      </mc:Fallback>
    </mc:AlternateContent>
    <mc:AlternateContent xmlns:mc="http://schemas.openxmlformats.org/markup-compatibility/2006">
      <mc:Choice Requires="x14">
        <control shapeId="5128" r:id="rId6" name="Group Box 8">
          <controlPr defaultSize="0" autoFill="0" autoPict="0">
            <anchor moveWithCells="1">
              <from>
                <xdr:col>0</xdr:col>
                <xdr:colOff>619125</xdr:colOff>
                <xdr:row>4</xdr:row>
                <xdr:rowOff>190500</xdr:rowOff>
              </from>
              <to>
                <xdr:col>7</xdr:col>
                <xdr:colOff>295275</xdr:colOff>
                <xdr:row>29</xdr:row>
                <xdr:rowOff>47625</xdr:rowOff>
              </to>
            </anchor>
          </controlPr>
        </control>
      </mc:Choice>
    </mc:AlternateContent>
    <mc:AlternateContent xmlns:mc="http://schemas.openxmlformats.org/markup-compatibility/2006">
      <mc:Choice Requires="x14">
        <control shapeId="5129" r:id="rId7" name="Check Box 9">
          <controlPr defaultSize="0" autoFill="0" autoLine="0" autoPict="0">
            <anchor moveWithCells="1">
              <from>
                <xdr:col>1</xdr:col>
                <xdr:colOff>1800225</xdr:colOff>
                <xdr:row>5</xdr:row>
                <xdr:rowOff>161925</xdr:rowOff>
              </from>
              <to>
                <xdr:col>2</xdr:col>
                <xdr:colOff>428625</xdr:colOff>
                <xdr:row>7</xdr:row>
                <xdr:rowOff>47625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8</vt:i4>
      </vt:variant>
    </vt:vector>
  </HeadingPairs>
  <TitlesOfParts>
    <vt:vector size="15" baseType="lpstr">
      <vt:lpstr>Listas</vt:lpstr>
      <vt:lpstr>Diagnóstico</vt:lpstr>
      <vt:lpstr>Árboles</vt:lpstr>
      <vt:lpstr>Poblaciones</vt:lpstr>
      <vt:lpstr>MIR</vt:lpstr>
      <vt:lpstr>Marco de Gasto</vt:lpstr>
      <vt:lpstr>Proceso Final</vt:lpstr>
      <vt:lpstr>DESCA</vt:lpstr>
      <vt:lpstr>Estatal</vt:lpstr>
      <vt:lpstr>Federal</vt:lpstr>
      <vt:lpstr>Municipal</vt:lpstr>
      <vt:lpstr>Municipios</vt:lpstr>
      <vt:lpstr>Otro_estado</vt:lpstr>
      <vt:lpstr>Otro_país</vt:lpstr>
      <vt:lpstr>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Wilbert Suárez Solis</dc:creator>
  <cp:lastModifiedBy>Carlos Cauich</cp:lastModifiedBy>
  <dcterms:created xsi:type="dcterms:W3CDTF">2019-06-28T14:44:57Z</dcterms:created>
  <dcterms:modified xsi:type="dcterms:W3CDTF">2019-07-03T16:45:03Z</dcterms:modified>
</cp:coreProperties>
</file>